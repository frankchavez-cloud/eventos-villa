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155e60a5284259" /></Relationships>
</file>

<file path=xl/workbook.xml><?xml version="1.0" encoding="utf-8"?>
<x:workbook xmlns:x="http://schemas.openxmlformats.org/spreadsheetml/2006/main">
  <x:sheets>
    <x:sheet xmlns:r="http://schemas.openxmlformats.org/officeDocument/2006/relationships" name="EVENTOS" sheetId="1" r:id="Re3d1c74e75964beb"/>
    <x:sheet xmlns:r="http://schemas.openxmlformats.org/officeDocument/2006/relationships" name="LISTAS" sheetId="2" r:id="Raf1c46b561ee4ca2"/>
    <x:sheet xmlns:r="http://schemas.openxmlformats.org/officeDocument/2006/relationships" name="RESUMEN" sheetId="3" r:id="R1a8a5620ecd0435e"/>
    <x:sheet xmlns:r="http://schemas.openxmlformats.org/officeDocument/2006/relationships" name="OBSERVACIONES" sheetId="4" r:id="R3965b0019d4a4643"/>
  </x:sheets>
</x:workbook>
</file>

<file path=xl/sharedStrings.xml><?xml version="1.0" encoding="utf-8"?>
<x:sst xmlns:x="http://schemas.openxmlformats.org/spreadsheetml/2006/main">
  <x:si>
    <x:t xml:space="preserve">Prioridad</x:t>
  </x:si>
  <x:si>
    <x:t xml:space="preserve">Estado</x:t>
  </x:si>
  <x:si>
    <x:t xml:space="preserve">Categoría</x:t>
  </x:si>
  <x:si>
    <x:t xml:space="preserve">Alta</x:t>
  </x:si>
  <x:si>
    <x:t xml:space="preserve">Programado</x:t>
  </x:si>
  <x:si>
    <x:t xml:space="preserve">Institucional</x:t>
  </x:si>
  <x:si>
    <x:t xml:space="preserve">Media</x:t>
  </x:si>
  <x:si>
    <x:t xml:space="preserve">Ejecutado</x:t>
  </x:si>
  <x:si>
    <x:t xml:space="preserve">Académico</x:t>
  </x:si>
  <x:si>
    <x:t xml:space="preserve">Baja</x:t>
  </x:si>
  <x:si>
    <x:t xml:space="preserve">Pendiente</x:t>
  </x:si>
  <x:si>
    <x:t xml:space="preserve">Operativo</x:t>
  </x:si>
  <x:si>
    <x:t xml:space="preserve">Cancelado</x:t>
  </x:si>
  <x:si>
    <x:t xml:space="preserve">Reunión</x:t>
  </x:si>
  <x:si>
    <x:t xml:space="preserve">Corporativo</x:t>
  </x:si>
  <x:si>
    <x:t xml:space="preserve">Equipo villa</x:t>
  </x:si>
</x:sst>
</file>

<file path=xl/styles.xml><?xml version="1.0" encoding="utf-8"?>
<x:styleSheet xmlns:x="http://schemas.openxmlformats.org/spreadsheetml/2006/main">
  <x:numFmts count="1">
    <x:numFmt numFmtId="164" formatCode="dd/mm/yyyy"/>
  </x:numFmts>
  <x:fonts count="6">
    <x:font>
      <x:sz val="11"/>
      <x:name val="Carlito"/>
    </x:font>
    <x:font>
      <x:b/>
      <x:sz val="11"/>
      <x:color rgb="FFFFFFFF"/>
      <x:name val="Carlito"/>
    </x:font>
    <x:font>
      <x:b/>
      <x:sz val="16"/>
      <x:color rgb="FFFFFFFF"/>
      <x:name val="Carlito"/>
    </x:font>
    <x:font>
      <x:b/>
      <x:sz val="11"/>
      <x:name val="Carlito"/>
    </x:font>
    <x:font>
      <x:sz val="11"/>
      <x:color theme="1"/>
      <x:name val="Carlito"/>
    </x:font>
    <x:font>
      <x:sz val="12"/>
      <x:color rgb="FF242424"/>
      <x:name val="Segoe UI"/>
    </x:font>
  </x:fonts>
  <x:fills count="8">
    <x:fill>
      <x:patternFill patternType="none"/>
    </x:fill>
    <x:fill>
      <x:patternFill patternType="gray125"/>
    </x:fill>
    <x:fill>
      <x:patternFill patternType="solid">
        <x:fgColor rgb="FF7A0019"/>
      </x:patternFill>
    </x:fill>
    <x:fill>
      <x:patternFill patternType="solid">
        <x:fgColor rgb="FF1F2937"/>
      </x:patternFill>
    </x:fill>
    <x:fill>
      <x:patternFill patternType="solid">
        <x:fgColor theme="4" tint="0.79998"/>
      </x:patternFill>
    </x:fill>
    <x:fill>
      <x:patternFill patternType="solid">
        <x:fgColor theme="7" tint="0.39998"/>
      </x:patternFill>
    </x:fill>
    <x:fill>
      <x:patternFill patternType="solid">
        <x:fgColor rgb="FF1F4E78"/>
      </x:patternFill>
    </x:fill>
    <x:fill>
      <x:patternFill patternType="solid">
        <x:fgColor rgb="FFD9EAF7"/>
      </x:patternFill>
    </x:fill>
  </x:fills>
  <x:borders count="8">
    <x:border/>
    <x:border>
      <x:left style="thin">
        <x:color theme="4" tint="0.39998"/>
      </x:left>
      <x:top style="thin">
        <x:color theme="4" tint="0.39998"/>
      </x:top>
      <x:bottom style="thin">
        <x:color theme="4" tint="0.39998"/>
      </x:bottom>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s>
  <x:cellStyleXfs count="1">
    <x:xf numFmtId="0" fontId="0" fillId="0" borderId="0"/>
  </x:cellStyleXfs>
  <x:cellXfs count="85">
    <x:xf numFmtId="0" fontId="0" fillId="0" borderId="0" xfId="0"/>
    <x:xf numFmtId="0" fontId="1" fillId="2" borderId="0" xfId="0" applyFont="1" applyFill="1" applyAlignment="1">
      <x:alignment horizontal="center" vertical="center"/>
    </x:xf>
    <x:xf numFmtId="0" fontId="0" fillId="0" borderId="0" xfId="0" applyAlignment="1">
      <x:alignment wrapText="1"/>
    </x:xf>
    <x:xf numFmtId="20" fontId="0" fillId="0" borderId="0" xfId="0" applyNumberFormat="1" applyAlignment="1">
      <x:alignment wrapText="1"/>
    </x:xf>
    <x:xf numFmtId="0" fontId="1" fillId="3" borderId="0" xfId="0" applyFont="1" applyFill="1"/>
    <x:xf numFmtId="0" fontId="1" fillId="3" borderId="0" xfId="0" applyFont="1" applyFill="1" applyAlignment="1">
      <x:alignment horizontal="center"/>
    </x:xf>
    <x:xf numFmtId="0" fontId="3" fillId="0" borderId="0" xfId="0" applyFont="1"/>
    <x:xf numFmtId="0" fontId="0" fillId="0" borderId="0" xfId="0" applyAlignment="1">
      <x:alignment vertical="center"/>
    </x:xf>
    <x:xf numFmtId="0" fontId="0" fillId="0" borderId="0" xfId="0" applyAlignment="1">
      <x:alignment vertical="center" wrapText="1"/>
    </x:xf>
    <x:xf numFmtId="20" fontId="0" fillId="0" borderId="0" xfId="0" applyNumberFormat="1" applyAlignment="1">
      <x:alignment horizontal="left" vertical="center"/>
    </x:xf>
    <x:xf numFmtId="0" fontId="4" fillId="4" borderId="2" xfId="0" applyFont="1" applyFill="1" applyBorder="1" applyAlignment="1">
      <x:alignment vertical="center"/>
    </x:xf>
    <x:xf numFmtId="0" fontId="4" fillId="5" borderId="3" xfId="0" applyFont="1" applyFill="1" applyBorder="1" applyAlignment="1">
      <x:alignment vertical="center"/>
    </x:xf>
    <x:xf numFmtId="0" fontId="4" fillId="4" borderId="2" xfId="0" applyFont="1" applyFill="1" applyBorder="1" applyAlignment="1">
      <x:alignment vertical="center" wrapText="1"/>
    </x:xf>
    <x:xf numFmtId="20" fontId="4" fillId="4" borderId="2" xfId="0" applyNumberFormat="1" applyFont="1" applyFill="1" applyBorder="1" applyAlignment="1">
      <x:alignment horizontal="left" vertical="center"/>
    </x:xf>
    <x:xf numFmtId="0" fontId="0" fillId="0" borderId="0" xfId="0" applyAlignment="1">
      <x:alignment horizontal="center" wrapText="1"/>
    </x:xf>
    <x:xf numFmtId="0" fontId="0" fillId="0" borderId="0" xfId="0" applyAlignment="1">
      <x:alignment horizontal="center" vertical="center"/>
    </x:xf>
    <x:xf numFmtId="0" fontId="4" fillId="4" borderId="2" xfId="0" applyFont="1" applyFill="1" applyBorder="1" applyAlignment="1">
      <x:alignment horizontal="center" vertical="center"/>
    </x:xf>
    <x:xf numFmtId="0" fontId="0" fillId="0" borderId="0" xfId="0" applyAlignment="1">
      <x:alignment horizontal="center"/>
    </x:xf>
    <x:xf numFmtId="14" fontId="0" fillId="0" borderId="0" xfId="0" applyNumberFormat="1"/>
    <x:xf numFmtId="164" fontId="0" fillId="0" borderId="0" xfId="0" applyNumberFormat="1" applyAlignment="1">
      <x:alignment horizontal="center" vertical="center" wrapText="1"/>
    </x:xf>
    <x:xf numFmtId="164" fontId="4" fillId="4" borderId="1" xfId="0" applyNumberFormat="1" applyFont="1" applyFill="1" applyBorder="1" applyAlignment="1">
      <x:alignment horizontal="center" vertical="center" wrapText="1"/>
    </x:xf>
    <x:xf numFmtId="0" fontId="4" fillId="4" borderId="0" xfId="0" applyFont="1" applyFill="1" applyAlignment="1">
      <x:alignment vertical="center"/>
    </x:xf>
    <x:xf numFmtId="164" fontId="4" fillId="4" borderId="1" xfId="0" applyNumberFormat="1" applyFont="1" applyFill="1" applyBorder="1" applyAlignment="1">
      <x:alignment horizontal="center" vertical="center"/>
    </x:xf>
    <x:xf numFmtId="0" fontId="4" fillId="0" borderId="2" xfId="0" applyFont="1" applyBorder="1" applyAlignment="1">
      <x:alignment vertical="center" wrapText="1"/>
    </x:xf>
    <x:xf numFmtId="0" fontId="2" fillId="2" borderId="0" xfId="0" applyFont="1" applyFill="1" applyAlignment="1">
      <x:alignment horizontal="center"/>
    </x:xf>
    <x:xf numFmtId="0" fontId="0" fillId="0" borderId="0" xfId="0"/>
    <x:xf numFmtId="0" fontId="4" fillId="4" borderId="0" xfId="0" applyFont="1" applyFill="1" applyBorder="1" applyAlignment="1">
      <x:alignment vertical="center"/>
    </x:xf>
    <x:xf numFmtId="0" fontId="0" fillId="0" borderId="4" xfId="0" applyNumberFormat="1" applyFont="1" applyFill="1" applyBorder="1"/>
    <x:xf numFmtId="0" fontId="1" fillId="2" borderId="4" xfId="0" applyNumberFormat="1" applyFont="1" applyFill="1" applyBorder="1" applyAlignment="1">
      <x:alignment horizontal="center" vertical="center"/>
    </x:xf>
    <x:xf numFmtId="0" fontId="0" fillId="0" borderId="4" xfId="0" applyNumberFormat="1" applyFont="1" applyFill="1" applyBorder="1" applyAlignment="1">
      <x:alignment wrapText="1"/>
    </x:xf>
    <x:xf numFmtId="20" fontId="0" fillId="0" borderId="4" xfId="0" applyNumberFormat="1" applyFont="1" applyFill="1" applyBorder="1" applyAlignment="1">
      <x:alignment wrapText="1"/>
    </x:xf>
    <x:xf numFmtId="0" fontId="1" fillId="3" borderId="4" xfId="0" applyNumberFormat="1" applyFont="1" applyFill="1" applyBorder="1"/>
    <x:xf numFmtId="0" fontId="1" fillId="3" borderId="4" xfId="0" applyNumberFormat="1" applyFont="1" applyFill="1" applyBorder="1" applyAlignment="1">
      <x:alignment horizontal="center"/>
    </x:xf>
    <x:xf numFmtId="0" fontId="3" fillId="0" borderId="4" xfId="0" applyNumberFormat="1" applyFont="1" applyFill="1" applyBorder="1"/>
    <x:xf numFmtId="0" fontId="0" fillId="0" borderId="4" xfId="0" applyNumberFormat="1" applyFont="1" applyFill="1" applyBorder="1" applyAlignment="1">
      <x:alignment vertical="center"/>
    </x:xf>
    <x:xf numFmtId="0" fontId="0" fillId="0" borderId="4" xfId="0" applyNumberFormat="1" applyFont="1" applyFill="1" applyBorder="1" applyAlignment="1">
      <x:alignment vertical="center" wrapText="1"/>
    </x:xf>
    <x:xf numFmtId="20" fontId="0" fillId="0" borderId="4" xfId="0" applyNumberFormat="1" applyFont="1" applyFill="1" applyBorder="1" applyAlignment="1">
      <x:alignment horizontal="left" vertical="center"/>
    </x:xf>
    <x:xf numFmtId="0" fontId="4" fillId="4" borderId="5" xfId="0" applyNumberFormat="1" applyFont="1" applyFill="1" applyBorder="1" applyAlignment="1">
      <x:alignment vertical="center"/>
    </x:xf>
    <x:xf numFmtId="0" fontId="4" fillId="5" borderId="6" xfId="0" applyNumberFormat="1" applyFont="1" applyFill="1" applyBorder="1" applyAlignment="1">
      <x:alignment vertical="center"/>
    </x:xf>
    <x:xf numFmtId="0" fontId="4" fillId="4" borderId="5" xfId="0" applyNumberFormat="1" applyFont="1" applyFill="1" applyBorder="1" applyAlignment="1">
      <x:alignment vertical="center" wrapText="1"/>
    </x:xf>
    <x:xf numFmtId="20" fontId="4" fillId="4" borderId="5" xfId="0" applyNumberFormat="1" applyFont="1" applyFill="1" applyBorder="1" applyAlignment="1">
      <x:alignment horizontal="left" vertical="center"/>
    </x:xf>
    <x:xf numFmtId="0" fontId="0" fillId="0" borderId="4" xfId="0" applyNumberFormat="1" applyFont="1" applyFill="1" applyBorder="1" applyAlignment="1">
      <x:alignment horizontal="center" wrapText="1"/>
    </x:xf>
    <x:xf numFmtId="0" fontId="0" fillId="0" borderId="4" xfId="0" applyNumberFormat="1" applyFont="1" applyFill="1" applyBorder="1" applyAlignment="1">
      <x:alignment horizontal="center" vertical="center"/>
    </x:xf>
    <x:xf numFmtId="0" fontId="4" fillId="4" borderId="5" xfId="0" applyNumberFormat="1" applyFont="1" applyFill="1" applyBorder="1" applyAlignment="1">
      <x:alignment horizontal="center" vertical="center"/>
    </x:xf>
    <x:xf numFmtId="0" fontId="0" fillId="0" borderId="4" xfId="0" applyNumberFormat="1" applyFont="1" applyFill="1" applyBorder="1" applyAlignment="1">
      <x:alignment horizontal="center"/>
    </x:xf>
    <x:xf numFmtId="14" fontId="0" fillId="0" borderId="4" xfId="0" applyNumberFormat="1" applyFont="1" applyFill="1" applyBorder="1"/>
    <x:xf numFmtId="164" fontId="0" fillId="0" borderId="4" xfId="0" applyNumberFormat="1" applyFont="1" applyFill="1" applyBorder="1" applyAlignment="1">
      <x:alignment horizontal="center" vertical="center" wrapText="1"/>
    </x:xf>
    <x:xf numFmtId="164" fontId="4" fillId="4" borderId="7" xfId="0" applyNumberFormat="1" applyFont="1" applyFill="1" applyBorder="1" applyAlignment="1">
      <x:alignment horizontal="center" vertical="center" wrapText="1"/>
    </x:xf>
    <x:xf numFmtId="0" fontId="4" fillId="4" borderId="4" xfId="0" applyNumberFormat="1" applyFont="1" applyFill="1" applyBorder="1" applyAlignment="1">
      <x:alignment vertical="center"/>
    </x:xf>
    <x:xf numFmtId="164" fontId="4" fillId="4" borderId="7" xfId="0" applyNumberFormat="1" applyFont="1" applyFill="1" applyBorder="1" applyAlignment="1">
      <x:alignment horizontal="center" vertical="center"/>
    </x:xf>
    <x:xf numFmtId="0" fontId="4" fillId="0" borderId="5" xfId="0" applyNumberFormat="1" applyFont="1" applyFill="1" applyBorder="1" applyAlignment="1">
      <x:alignment vertical="center" wrapText="1"/>
    </x:xf>
    <x:xf numFmtId="0" fontId="2" fillId="2" borderId="4"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4"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164" fontId="0" fillId="0" borderId="0" xfId="0" applyNumberFormat="1" applyFont="1" applyFill="1" applyBorder="1" applyAlignment="1">
      <x:alignment horizontal="center" vertical="center" wrapText="1"/>
    </x:xf>
    <x:xf numFmtId="2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20" fontId="0" fillId="0" borderId="0"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20" fontId="4" fillId="4" borderId="2" xfId="0" applyNumberFormat="1" applyFont="1" applyFill="1" applyBorder="1" applyAlignment="1">
      <x:alignment horizontal="left" vertical="center" wrapText="1"/>
    </x:xf>
    <x:xf numFmtId="0" fontId="4" fillId="4" borderId="2" xfId="0" applyNumberFormat="1" applyFont="1" applyFill="1" applyBorder="1" applyAlignment="1">
      <x:alignment vertical="center" wrapText="1"/>
    </x:xf>
    <x:xf numFmtId="0" fontId="4" fillId="4" borderId="2" xfId="0" applyNumberFormat="1" applyFont="1" applyFill="1" applyBorder="1" applyAlignment="1">
      <x:alignment horizontal="center" vertical="center" wrapText="1"/>
    </x:xf>
    <x:xf numFmtId="0" fontId="4" fillId="5" borderId="3"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1" fillId="6" borderId="4" xfId="0" applyNumberFormat="1" applyFont="1" applyFill="1" applyBorder="1" applyAlignment="1">
      <x:alignment horizontal="center" vertical="center" wrapText="1"/>
    </x:xf>
    <x:xf numFmtId="20" fontId="0" fillId="0" borderId="4" xfId="0" applyNumberFormat="1" applyFont="1" applyFill="1" applyBorder="1" applyAlignment="1">
      <x:alignment horizontal="left" vertical="center" wrapText="1"/>
    </x:xf>
    <x:xf numFmtId="0" fontId="0" fillId="0" borderId="4" xfId="0" applyNumberFormat="1" applyFont="1" applyFill="1" applyBorder="1" applyAlignment="1">
      <x:alignment horizontal="center" vertical="center" wrapText="1"/>
    </x:xf>
    <x:xf numFmtId="20" fontId="4" fillId="4" borderId="5" xfId="0" applyNumberFormat="1" applyFont="1" applyFill="1" applyBorder="1" applyAlignment="1">
      <x:alignment horizontal="left" vertical="center" wrapText="1"/>
    </x:xf>
    <x:xf numFmtId="0" fontId="4" fillId="4" borderId="5" xfId="0" applyNumberFormat="1" applyFont="1" applyFill="1" applyBorder="1" applyAlignment="1">
      <x:alignment horizontal="center" vertical="center" wrapText="1"/>
    </x:xf>
    <x:xf numFmtId="0" fontId="4" fillId="5" borderId="6"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2" fillId="6"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2" fillId="6" borderId="4" xfId="0" applyNumberFormat="1" applyFont="1" applyFill="1" applyBorder="1" applyAlignment="1">
      <x:alignment horizontal="center"/>
    </x:xf>
    <x:xf numFmtId="0" fontId="0" fillId="6" borderId="4" xfId="0" applyNumberFormat="1" applyFont="1" applyFill="1" applyBorder="1"/>
    <x:xf numFmtId="0" fontId="1" fillId="6" borderId="4"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7" borderId="4" xfId="0" applyNumberFormat="1" applyFont="1" applyFill="1" applyBorder="1"/>
    <x:xf numFmtId="0" fontId="3" fillId="7" borderId="4" xfId="0" applyNumberFormat="1" applyFont="1" applyFill="1" applyBorder="1"/>
  </x:cellXfs>
  <x:cellStyles count="1">
    <x:cellStyle name="Normal" xfId="0"/>
  </x:cellStyles>
  <x:dxfs count="7">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dxf/>
  </x:dxfs>
</x:styleSheet>
</file>

<file path=xl/_rels/workbook.xml.rels>&#65279;<?xml version="1.0" encoding="utf-8"?><Relationships xmlns="http://schemas.openxmlformats.org/package/2006/relationships"><Relationship Type="http://schemas.openxmlformats.org/officeDocument/2006/relationships/styles" Target="/xl/styles.xml" Id="Rd8dcb092821343f5" /><Relationship Type="http://schemas.openxmlformats.org/officeDocument/2006/relationships/theme" Target="/xl/theme/theme1.xml" Id="Ra724f68bf3304916" /><Relationship Type="http://schemas.openxmlformats.org/officeDocument/2006/relationships/sharedStrings" Target="/xl/sharedStrings.xml" Id="R7f25a092ca6541fc" /><Relationship Type="http://schemas.openxmlformats.org/officeDocument/2006/relationships/worksheet" Target="/xl/worksheets/sheet1.xml" Id="Re3d1c74e75964beb" /><Relationship Type="http://schemas.openxmlformats.org/officeDocument/2006/relationships/worksheet" Target="/xl/worksheets/sheet2.xml" Id="Raf1c46b561ee4ca2" /><Relationship Type="http://schemas.openxmlformats.org/officeDocument/2006/relationships/worksheet" Target="/xl/worksheets/sheet3.xml" Id="R1a8a5620ecd0435e" /><Relationship Type="http://schemas.openxmlformats.org/officeDocument/2006/relationships/worksheet" Target="/xl/worksheets/sheet4.xml" Id="R3965b0019d4a4643" /></Relationships>
</file>

<file path=xl/tables/table1.xml><?xml version="1.0" encoding="utf-8"?>
<x:table xmlns:x="http://schemas.openxmlformats.org/spreadsheetml/2006/main" id="1" name="TablaEventosV4" displayName="TablaEventosV4" ref="A1:J16">
  <x:tableColumns count="10">
    <x:tableColumn id="1" name="Fecha"/>
    <x:tableColumn id="2" name="Hora"/>
    <x:tableColumn id="3" name="Área Solicitante"/>
    <x:tableColumn id="4" name="N° OT"/>
    <x:tableColumn id="5" name="Evento / Actividad"/>
    <x:tableColumn id="6" name="Ubicación"/>
    <x:tableColumn id="7" name="Requerimientos"/>
    <x:tableColumn id="8" name="Prioridad"/>
    <x:tableColumn id="9" name="Categoría"/>
    <x:tableColumn id="10" name="Estad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8c0f4a5c6a4e5c" /></Relationships>
</file>

<file path=xl/worksheets/sheet1.xml><?xml version="1.0" encoding="utf-8"?>
<x:worksheet xmlns:x="http://schemas.openxmlformats.org/spreadsheetml/2006/main">
  <x:sheetFormatPr baseColWidth="10" defaultColWidth="9" defaultRowHeight="14.25"/>
  <x:cols>
    <x:col min="1" max="1" width="14" style="15" hidden="0" customWidth="1"/>
    <x:col min="2" max="2" width="10" hidden="0" customWidth="1"/>
    <x:col min="3" max="3" width="24" hidden="0" customWidth="1"/>
    <x:col min="4" max="4" width="12" style="17" hidden="0" customWidth="1"/>
    <x:col min="5" max="6" width="34" customWidth="1"/>
    <x:col min="7" max="7" width="50" hidden="0" customWidth="1"/>
    <x:col min="8" max="8" width="12" hidden="0" customWidth="1"/>
    <x:col min="9" max="9" width="16" hidden="0" customWidth="1"/>
    <x:col min="10" max="10" width="14" hidden="0" customWidth="1"/>
    <x:col min="11" max="11" width="5.75" customWidth="1"/>
    <x:col min="12" max="12" width="12" customWidth="1"/>
    <x:col min="5" max="5" width="38" hidden="0" customWidth="1"/>
    <x:col min="6" max="6" width="30" hidden="0" customWidth="1"/>
  </x:cols>
  <x:sheetData>
    <x:row r="1" ht="26.100000381469727" customHeight="1">
      <x:c r="A1" s="54" t="str">
        <x:v>Fecha</x:v>
      </x:c>
      <x:c r="B1" s="54" t="str">
        <x:v>Hora</x:v>
      </x:c>
      <x:c r="C1" s="54" t="str">
        <x:v>Área Solicitante</x:v>
      </x:c>
      <x:c r="D1" s="54" t="str">
        <x:v>N° OT</x:v>
      </x:c>
      <x:c r="E1" s="54" t="str">
        <x:v>Evento / Actividad</x:v>
      </x:c>
      <x:c r="F1" s="54" t="str">
        <x:v>Ubicación</x:v>
      </x:c>
      <x:c r="G1" s="54" t="str">
        <x:v>Requerimientos</x:v>
      </x:c>
      <x:c r="H1" s="54" t="str">
        <x:v>Prioridad</x:v>
      </x:c>
      <x:c r="I1" s="54" t="str">
        <x:v>Categoría</x:v>
      </x:c>
      <x:c r="J1" s="54" t="str">
        <x:v>Estado</x:v>
      </x:c>
    </x:row>
    <x:row r="2" ht="15" customHeight="1">
      <x:c r="A2" s="55" t="str">
        <x:v>2026-05-29</x:v>
      </x:c>
      <x:c r="B2" s="56" t="str">
        <x:v>08:00</x:v>
      </x:c>
      <x:c r="C2" s="57" t="str">
        <x:v>Seguridad</x:v>
      </x:c>
      <x:c r="D2" s="58" t="str">
        <x:v>OT-00125</x:v>
      </x:c>
      <x:c r="E2" s="57" t="str">
        <x:v>Simulacro Multipeligro</x:v>
      </x:c>
      <x:c r="F2" s="57" t="str">
        <x:v>Campus villa</x:v>
      </x:c>
      <x:c r="G2" s="57" t="str">
        <x:v>Coordinación con brigadas y rutas de evacuación</x:v>
      </x:c>
      <x:c r="H2" s="57" t="str">
        <x:v>Alta</x:v>
      </x:c>
      <x:c r="I2" s="57" t="str">
        <x:v>Institucional</x:v>
      </x:c>
      <x:c r="J2" s="57" t="str">
        <x:v>Ejecutado</x:v>
      </x:c>
    </x:row>
    <x:row r="3" ht="15" customHeight="1">
      <x:c r="A3" s="55" t="str">
        <x:v>2026-05-31</x:v>
      </x:c>
      <x:c r="B3" s="56" t="str">
        <x:v>08:00</x:v>
      </x:c>
      <x:c r="C3" s="57" t="str">
        <x:v>VGU</x:v>
      </x:c>
      <x:c r="D3" s="58" t="str">
        <x:v>OT-81043</x:v>
      </x:c>
      <x:c r="E3" s="57" t="str">
        <x:v>evento lote 28</x:v>
      </x:c>
      <x:c r="F3" s="57" t="str">
        <x:v>Lote 28</x:v>
      </x:c>
      <x:c r="G3" s="57" t="str">
        <x:v>4 toldos, 4 mesas, 4 manteles, sillas</x:v>
      </x:c>
      <x:c r="H3" s="57" t="str">
        <x:v>Alta</x:v>
      </x:c>
      <x:c r="I3" s="57" t="str">
        <x:v>Institucional</x:v>
      </x:c>
      <x:c r="J3" s="57" t="str">
        <x:v>Pendiente</x:v>
      </x:c>
    </x:row>
    <x:row r="4" ht="15" customHeight="1">
      <x:c r="A4" s="55" t="str">
        <x:v>2026-05-31</x:v>
      </x:c>
      <x:c r="B4" s="56" t="str">
        <x:v>08:00</x:v>
      </x:c>
      <x:c r="C4" s="57" t="str">
        <x:v>Psicopedagogico</x:v>
      </x:c>
      <x:c r="D4" s="58" t="str">
        <x:v>CORREO</x:v>
      </x:c>
      <x:c r="E4" s="57" t="str">
        <x:v>evento lote 28</x:v>
      </x:c>
      <x:c r="F4" s="57" t="str">
        <x:v>lote 28</x:v>
      </x:c>
      <x:c r="G4" s="57" t="str">
        <x:v>1 extension para parlante</x:v>
      </x:c>
      <x:c r="H4" s="57" t="str">
        <x:v>Alta</x:v>
      </x:c>
      <x:c r="I4" s="57" t="str">
        <x:v>Institucional</x:v>
      </x:c>
      <x:c r="J4" s="57" t="str">
        <x:v>Pendiente</x:v>
      </x:c>
    </x:row>
    <x:row r="5" ht="15" customHeight="1">
      <x:c r="A5" s="55" t="str">
        <x:v>2026-05-31</x:v>
      </x:c>
      <x:c r="B5" s="56" t="str">
        <x:v>09:00</x:v>
      </x:c>
      <x:c r="C5" s="57" t="str">
        <x:v>Enfermeria</x:v>
      </x:c>
      <x:c r="D5" s="58" t="str">
        <x:v>CORREO</x:v>
      </x:c>
      <x:c r="E5" s="57" t="str">
        <x:v>Auditorio Pabellon O</x:v>
      </x:c>
      <x:c r="F5" s="57" t="str">
        <x:v>Auditorio O </x:v>
      </x:c>
      <x:c r="G5" s="57" t="str">
        <x:v>Sillas, Podium, Mesas</x:v>
      </x:c>
      <x:c r="H5" s="57" t="str">
        <x:v>Alta</x:v>
      </x:c>
      <x:c r="I5" s="57" t="str">
        <x:v>Institucional</x:v>
      </x:c>
      <x:c r="J5" s="57" t="str">
        <x:v>Pendiente</x:v>
      </x:c>
    </x:row>
    <x:row r="6" ht="15" customHeight="1">
      <x:c r="A6" s="55" t="str">
        <x:v>2026-05-31</x:v>
      </x:c>
      <x:c r="B6" s="56" t="str">
        <x:v>09:00</x:v>
      </x:c>
      <x:c r="C6" s="57" t="str">
        <x:v>Estomatologia</x:v>
      </x:c>
      <x:c r="D6" s="58" t="str"/>
      <x:c r="E6" s="57" t="str">
        <x:v>Canchas deportivas</x:v>
      </x:c>
      <x:c r="F6" s="57" t="str">
        <x:v>Canchas deportivas</x:v>
      </x:c>
      <x:c r="G6" s="57" t="str">
        <x:v>ninguno</x:v>
      </x:c>
      <x:c r="H6" s="57" t="str">
        <x:v>Media</x:v>
      </x:c>
      <x:c r="I6" s="57" t="str">
        <x:v>Institucional</x:v>
      </x:c>
      <x:c r="J6" s="57" t="str">
        <x:v>Pendiente</x:v>
      </x:c>
    </x:row>
    <x:row r="7" ht="15" customHeight="1">
      <x:c r="A7" s="55" t="str">
        <x:v>2026-05-30</x:v>
      </x:c>
      <x:c r="B7" s="56" t="str">
        <x:v>08:00</x:v>
      </x:c>
      <x:c r="C7" s="57" t="str">
        <x:v>Servicios Generrales</x:v>
      </x:c>
      <x:c r="D7" s="58" t="str"/>
      <x:c r="E7" s="57" t="str">
        <x:v>Cumpleaños Juan Hernandez</x:v>
      </x:c>
      <x:c r="F7" s="57" t="str">
        <x:v>Externo</x:v>
      </x:c>
      <x:c r="G7" s="57"/>
      <x:c r="H7" s="57" t="str">
        <x:v>Alta</x:v>
      </x:c>
      <x:c r="I7" s="57" t="str">
        <x:v>Equipo villa</x:v>
      </x:c>
      <x:c r="J7" s="57" t="str">
        <x:v>Ejecutado</x:v>
      </x:c>
    </x:row>
    <x:row r="8" ht="15" customHeight="1">
      <x:c r="A8" s="55" t="str">
        <x:v>2026-06-01</x:v>
      </x:c>
      <x:c r="B8" s="56" t="str">
        <x:v>08:00</x:v>
      </x:c>
      <x:c r="C8" s="57" t="str">
        <x:v>SST</x:v>
      </x:c>
      <x:c r="D8" s="58" t="str">
        <x:v>CORREO</x:v>
      </x:c>
      <x:c r="E8" s="57" t="str">
        <x:v>Capacitacion SST</x:v>
      </x:c>
      <x:c r="F8" s="57" t="str">
        <x:v>Aramburu</x:v>
      </x:c>
      <x:c r="G8" s="57" t="str">
        <x:v>Presencial</x:v>
      </x:c>
      <x:c r="H8" s="57" t="str">
        <x:v>Alta</x:v>
      </x:c>
      <x:c r="I8" s="57" t="str">
        <x:v>Corporativo</x:v>
      </x:c>
      <x:c r="J8" s="57" t="str">
        <x:v>Pendiente</x:v>
      </x:c>
    </x:row>
    <x:row r="9" ht="15" customHeight="1">
      <x:c r="A9" s="55" t="str">
        <x:v>2026-06-09</x:v>
      </x:c>
      <x:c r="B9" s="56" t="str">
        <x:v>08:00</x:v>
      </x:c>
      <x:c r="C9" s="57" t="str">
        <x:v>CARRERA DE INGIENERIA</x:v>
      </x:c>
      <x:c r="D9" s="58" t="str">
        <x:v>CORREO</x:v>
      </x:c>
      <x:c r="E9" s="57" t="str">
        <x:v>Concurso de Ingieneria Civil</x:v>
      </x:c>
      <x:c r="F9" s="57" t="str">
        <x:v>Pabellon N </x:v>
      </x:c>
      <x:c r="G9" s="57" t="str">
        <x:v>mesas</x:v>
      </x:c>
      <x:c r="H9" s="57" t="str">
        <x:v>Media</x:v>
      </x:c>
      <x:c r="I9" s="57" t="str">
        <x:v>Institucional</x:v>
      </x:c>
      <x:c r="J9" s="57" t="str">
        <x:v>Pendiente</x:v>
      </x:c>
    </x:row>
    <x:row r="10" ht="15" customHeight="1">
      <x:c r="A10" s="55" t="str">
        <x:v>2026-06-09</x:v>
      </x:c>
      <x:c r="B10" s="56" t="str">
        <x:v>08:00</x:v>
      </x:c>
      <x:c r="C10" s="57" t="str">
        <x:v>CARRERA DE INGIENERIA</x:v>
      </x:c>
      <x:c r="D10" s="58" t="str">
        <x:v>CORREO</x:v>
      </x:c>
      <x:c r="E10" s="57" t="str">
        <x:v>Feria de Papers</x:v>
      </x:c>
      <x:c r="F10" s="57" t="str">
        <x:v>Terrazo pabellon J </x:v>
      </x:c>
      <x:c r="G10" s="57" t="str">
        <x:v>mesas</x:v>
      </x:c>
      <x:c r="H10" s="57" t="str">
        <x:v>Media</x:v>
      </x:c>
      <x:c r="I10" s="57" t="str">
        <x:v>Institucional</x:v>
      </x:c>
      <x:c r="J10" s="57" t="str">
        <x:v>Pendiente</x:v>
      </x:c>
    </x:row>
    <x:row r="11" ht="143.25" customHeight="1">
      <x:c r="A11" s="55" t="str">
        <x:v>2026-06-24</x:v>
      </x:c>
      <x:c r="B11" s="56" t="str">
        <x:v>08:00</x:v>
      </x:c>
      <x:c r="C11" s="57" t="str">
        <x:v>INGIENERIA AMBIENTAL</x:v>
      </x:c>
      <x:c r="D11" s="58" t="str">
        <x:v>SOL 9606</x:v>
      </x:c>
      <x:c r="E11" s="57" t="str">
        <x:v>Feria Ambiental 2026</x:v>
      </x:c>
      <x:c r="F11" s="57" t="str">
        <x:v>Sede Villa – Hall del Pabellón N</x:v>
      </x:c>
      <x:c r="G11" s="57" t="str">
        <x:v>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x:v>
      </x:c>
      <x:c r="H11" s="57" t="str">
        <x:v>Alta</x:v>
      </x:c>
      <x:c r="I11" s="57" t="str">
        <x:v>Institucional</x:v>
      </x:c>
      <x:c r="J11" s="57" t="str">
        <x:v>Pendiente</x:v>
      </x:c>
    </x:row>
    <x:row r="12" ht="228.75" customHeight="1">
      <x:c r="A12" s="55" t="str">
        <x:v>2026-06-25</x:v>
      </x:c>
      <x:c r="B12" s="56" t="str">
        <x:v>08:00</x:v>
      </x:c>
      <x:c r="C12" s="57" t="str">
        <x:v>INGIENERIA AMBIENTAL</x:v>
      </x:c>
      <x:c r="D12" s="58" t="str">
        <x:v>sol 9697</x:v>
      </x:c>
      <x:c r="E12" s="57" t="str">
        <x:v>Workshop de Líderes en Circularidad</x:v>
      </x:c>
      <x:c r="F12" s="57" t="str">
        <x:v>Hall del segundo piso – Pabellón O</x:v>
      </x:c>
      <x:c r="G12" s="57" t="str">
        <x:v>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x:v>
      </x:c>
      <x:c r="H12" s="57" t="str">
        <x:v>Alta</x:v>
      </x:c>
      <x:c r="I12" s="57" t="str">
        <x:v>Institucional</x:v>
      </x:c>
      <x:c r="J12" s="57" t="str">
        <x:v>Pendiente</x:v>
      </x:c>
    </x:row>
    <x:row r="13" ht="200.25" customHeight="1">
      <x:c r="A13" s="55" t="str">
        <x:v>2026-06-25</x:v>
      </x:c>
      <x:c r="B13" s="56" t="str">
        <x:v>08:00</x:v>
      </x:c>
      <x:c r="C13" s="57" t="str">
        <x:v>INGIENERIA AMBIENTAL</x:v>
      </x:c>
      <x:c r="D13" s="58" t="str">
        <x:v>sol 9608</x:v>
      </x:c>
      <x:c r="E13" s="57" t="str">
        <x:v>Ciclo de Conferencias: “Zero Waste: Ecodiseño y Negocios Sostenibles”</x:v>
      </x:c>
      <x:c r="F13" s="57" t="str">
        <x:v>Sede Villa – Hall del Pabellón N</x:v>
      </x:c>
      <x:c r="G13" s="57" t="str">
        <x:v>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x:v>
      </x:c>
      <x:c r="H13" s="57" t="str">
        <x:v>Alta</x:v>
      </x:c>
      <x:c r="I13" s="57" t="str">
        <x:v>Institucional</x:v>
      </x:c>
      <x:c r="J13" s="57" t="str">
        <x:v>Pendiente</x:v>
      </x:c>
    </x:row>
    <x:row r="14" ht="129" customHeight="1">
      <x:c r="A14" s="55" t="str">
        <x:v>2026-06-22</x:v>
      </x:c>
      <x:c r="B14" s="56" t="str">
        <x:v>10:00</x:v>
      </x:c>
      <x:c r="C14" s="57" t="str">
        <x:v>INGIENERIA AMBIENTAL</x:v>
      </x:c>
      <x:c r="D14" s="58" t="str">
        <x:v>sol 9609</x:v>
      </x:c>
      <x:c r="E14" s="57" t="str">
        <x:v>Exhibición: Biomateriales – EKOVA</x:v>
      </x:c>
      <x:c r="F14" s="57" t="str">
        <x:v>Sede Villa – Hall del Pabellón N</x:v>
      </x:c>
      <x:c r="G14" s="57" t="str">
        <x:v>Instalación:
22 de junio – 10:00 a.m.
Retiro:
06 de julio – 10:00 a.m.
Sede Villa – Hall del Pabellón N
Requerimiento:
Retiro parcial de muebles para la implementación de la exhibición
Apoyo para ingreso y salida de materiales</x:v>
      </x:c>
      <x:c r="H14" s="57" t="str">
        <x:v>Alta</x:v>
      </x:c>
      <x:c r="I14" s="57" t="str">
        <x:v>Institucional</x:v>
      </x:c>
      <x:c r="J14" s="57" t="str">
        <x:v>Pendiente</x:v>
      </x:c>
    </x:row>
    <x:row r="15" ht="270.75" customHeight="1">
      <x:c r="A15" s="55" t="str">
        <x:v>2026-06-04</x:v>
      </x:c>
      <x:c r="B15" s="59" t="str">
        <x:v>08:00</x:v>
      </x:c>
      <x:c r="C15" s="60" t="str">
        <x:v>EMPLEABILIDAD</x:v>
      </x:c>
      <x:c r="D15" s="61" t="str">
        <x:v>sol 9691</x:v>
      </x:c>
      <x:c r="E15" s="60" t="str">
        <x:v>Congreso Nacional e Internacional de Derecho Ambiental</x:v>
      </x:c>
      <x:c r="F15" s="60" t="str">
        <x:v>Sede villa - pabellon O / L</x:v>
      </x:c>
      <x:c r="G15" s="60" t="str">
        <x:v>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 </x:v>
      </x:c>
      <x:c r="H15" s="60" t="str">
        <x:v>Alta</x:v>
      </x:c>
      <x:c r="I15" s="60" t="str">
        <x:v>Institucional</x:v>
      </x:c>
      <x:c r="J15" s="60" t="str">
        <x:v>Pendiente</x:v>
      </x:c>
    </x:row>
    <x:row r="16" ht="270.75" customHeight="1">
      <x:c r="A16" s="55" t="str">
        <x:v>2026-06-05</x:v>
      </x:c>
      <x:c r="B16" s="59" t="str">
        <x:v>08:00</x:v>
      </x:c>
      <x:c r="C16" s="60" t="str">
        <x:v>EMPLEABILIDAD</x:v>
      </x:c>
      <x:c r="D16" s="61" t="str">
        <x:v>sol 9691</x:v>
      </x:c>
      <x:c r="E16" s="60" t="str">
        <x:v>Congreso Nacional e Internacional de Derecho Ambiental</x:v>
      </x:c>
      <x:c r="F16" s="60" t="str">
        <x:v>Sede villa - pabellon O / L</x:v>
      </x:c>
      <x:c r="G16" s="60" t="str">
        <x:v>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 </x:v>
      </x:c>
      <x:c r="H16" s="60" t="str">
        <x:v>Alta</x:v>
      </x:c>
      <x:c r="I16" s="60" t="str">
        <x:v>Institucional</x:v>
      </x:c>
      <x:c r="J16" s="60" t="str">
        <x:v>Pendiente</x:v>
      </x:c>
    </x:row>
    <x:row r="17">
      <x:c r="A17" s="20" t="str">
        <x:v>2026-06-01</x:v>
      </x:c>
      <x:c r="B17" s="62" t="str">
        <x:v>18:30</x:v>
      </x:c>
      <x:c r="C17" s="63" t="str">
        <x:v>VGU</x:v>
      </x:c>
      <x:c r="D17" s="64" t="str">
        <x:v>CORREO</x:v>
      </x:c>
      <x:c r="E17" s="63" t="str">
        <x:v>Baile Moderno</x:v>
      </x:c>
      <x:c r="F17" s="63" t="str">
        <x:v>Cancha de Voley</x:v>
      </x:c>
      <x:c r="G17" s="63" t="str">
        <x:v>Espacio limpio / punto de luz / Retirar malla de voley</x:v>
      </x:c>
      <x:c r="H17" s="57" t="str">
        <x:v>Alta</x:v>
      </x:c>
      <x:c r="I17" s="63" t="str">
        <x:v>Institucional</x:v>
      </x:c>
      <x:c r="J17" s="65" t="str">
        <x:v>Programado</x:v>
      </x:c>
    </x:row>
    <x:row r="18">
      <x:c r="A18" s="20" t="str">
        <x:v>2026-06-08</x:v>
      </x:c>
      <x:c r="B18" s="62" t="str">
        <x:v>18:30</x:v>
      </x:c>
      <x:c r="C18" s="63" t="str">
        <x:v>VGU</x:v>
      </x:c>
      <x:c r="D18" s="64" t="str">
        <x:v>CORREO</x:v>
      </x:c>
      <x:c r="E18" s="63" t="str">
        <x:v>Baile Moderno</x:v>
      </x:c>
      <x:c r="F18" s="63" t="str">
        <x:v>Cancha de Voley</x:v>
      </x:c>
      <x:c r="G18" s="63" t="str">
        <x:v>Espacio limpio / punto de luz / Retirar malla de voley</x:v>
      </x:c>
      <x:c r="H18" s="57" t="str">
        <x:v>Alta</x:v>
      </x:c>
      <x:c r="I18" s="63" t="str">
        <x:v>Institucional</x:v>
      </x:c>
      <x:c r="J18" s="65" t="str">
        <x:v>Programado</x:v>
      </x:c>
    </x:row>
    <x:row r="19">
      <x:c r="A19" s="20" t="str">
        <x:v>2026-06-15</x:v>
      </x:c>
      <x:c r="B19" s="62" t="str">
        <x:v>18:30</x:v>
      </x:c>
      <x:c r="C19" s="63" t="str">
        <x:v>VGU</x:v>
      </x:c>
      <x:c r="D19" s="64" t="str">
        <x:v>CORREO</x:v>
      </x:c>
      <x:c r="E19" s="63" t="str">
        <x:v>Baile Moderno</x:v>
      </x:c>
      <x:c r="F19" s="63" t="str">
        <x:v>Cancha de Voley</x:v>
      </x:c>
      <x:c r="G19" s="63" t="str">
        <x:v>Espacio limpio / punto de luz / Retirar malla de voley</x:v>
      </x:c>
      <x:c r="H19" s="57" t="str">
        <x:v>Alta</x:v>
      </x:c>
      <x:c r="I19" s="63" t="str">
        <x:v>Institucional</x:v>
      </x:c>
      <x:c r="J19" s="65" t="str">
        <x:v>Programado</x:v>
      </x:c>
    </x:row>
    <x:row r="20">
      <x:c r="A20" s="20" t="str">
        <x:v>2026-06-22</x:v>
      </x:c>
      <x:c r="B20" s="62" t="str">
        <x:v>18:30</x:v>
      </x:c>
      <x:c r="C20" s="63" t="str">
        <x:v>VGU</x:v>
      </x:c>
      <x:c r="D20" s="64" t="str">
        <x:v>CORREO</x:v>
      </x:c>
      <x:c r="E20" s="63" t="str">
        <x:v>Baile Moderno</x:v>
      </x:c>
      <x:c r="F20" s="63" t="str">
        <x:v>Cancha de Voley</x:v>
      </x:c>
      <x:c r="G20" s="63" t="str">
        <x:v>Espacio limpio / punto de luz / Retirar malla de voley</x:v>
      </x:c>
      <x:c r="H20" s="57" t="str">
        <x:v>Alta</x:v>
      </x:c>
      <x:c r="I20" s="63" t="str">
        <x:v>Institucional</x:v>
      </x:c>
      <x:c r="J20" s="65" t="str">
        <x:v>Programado</x:v>
      </x:c>
    </x:row>
    <x:row r="21">
      <x:c r="A21" s="20" t="str">
        <x:v>2026-06-02</x:v>
      </x:c>
      <x:c r="B21" s="62" t="str">
        <x:v>10:00</x:v>
      </x:c>
      <x:c r="C21" s="63" t="str">
        <x:v>VGU</x:v>
      </x:c>
      <x:c r="D21" s="64" t="str">
        <x:v>CORREO</x:v>
      </x:c>
      <x:c r="E21" s="63" t="str">
        <x:v>Comunicación teatral efectiva</x:v>
      </x:c>
      <x:c r="F21" s="63" t="str">
        <x:v>Auditorio Pab. O</x:v>
      </x:c>
      <x:c r="G21" s="63" t="str">
        <x:v>Espacio limpio/mobiliario retirado </x:v>
      </x:c>
      <x:c r="H21" s="57" t="str">
        <x:v>Alta</x:v>
      </x:c>
      <x:c r="I21" s="63" t="str">
        <x:v>Institucional</x:v>
      </x:c>
      <x:c r="J21" s="65" t="str">
        <x:v>Programado</x:v>
      </x:c>
    </x:row>
    <x:row r="22">
      <x:c r="A22" s="20" t="str">
        <x:v>2026-06-09</x:v>
      </x:c>
      <x:c r="B22" s="62" t="str">
        <x:v>10:00</x:v>
      </x:c>
      <x:c r="C22" s="63" t="str">
        <x:v>VGU</x:v>
      </x:c>
      <x:c r="D22" s="64" t="str">
        <x:v>CORREO</x:v>
      </x:c>
      <x:c r="E22" s="63" t="str">
        <x:v>Comunicación teatral efectiva</x:v>
      </x:c>
      <x:c r="F22" s="63" t="str">
        <x:v>Auditorio Pab. O</x:v>
      </x:c>
      <x:c r="G22" s="63" t="str">
        <x:v>Espacio limpio/mobiliario retirado </x:v>
      </x:c>
      <x:c r="H22" s="57" t="str">
        <x:v>Alta</x:v>
      </x:c>
      <x:c r="I22" s="63" t="str">
        <x:v>Institucional</x:v>
      </x:c>
      <x:c r="J22" s="65" t="str">
        <x:v>Programado</x:v>
      </x:c>
    </x:row>
    <x:row r="23">
      <x:c r="A23" s="20" t="str">
        <x:v>2026-06-16</x:v>
      </x:c>
      <x:c r="B23" s="62" t="str">
        <x:v>10:00</x:v>
      </x:c>
      <x:c r="C23" s="63" t="str">
        <x:v>VGU</x:v>
      </x:c>
      <x:c r="D23" s="64" t="str">
        <x:v>CORREO</x:v>
      </x:c>
      <x:c r="E23" s="63" t="str">
        <x:v>Comunicación teatral efectiva</x:v>
      </x:c>
      <x:c r="F23" s="63" t="str">
        <x:v>Auditorio Pab. O</x:v>
      </x:c>
      <x:c r="G23" s="63" t="str">
        <x:v>Espacio limpio/mobiliario retirado </x:v>
      </x:c>
      <x:c r="H23" s="57" t="str">
        <x:v>Alta</x:v>
      </x:c>
      <x:c r="I23" s="63" t="str">
        <x:v>Institucional</x:v>
      </x:c>
      <x:c r="J23" s="65" t="str">
        <x:v>Programado</x:v>
      </x:c>
    </x:row>
    <x:row r="24">
      <x:c r="A24" s="20" t="str">
        <x:v>2026-06-23</x:v>
      </x:c>
      <x:c r="B24" s="62" t="str">
        <x:v>10:00</x:v>
      </x:c>
      <x:c r="C24" s="63" t="str">
        <x:v>VGU</x:v>
      </x:c>
      <x:c r="D24" s="64" t="str">
        <x:v>CORREO</x:v>
      </x:c>
      <x:c r="E24" s="63" t="str">
        <x:v>Comunicación teatral efectiva</x:v>
      </x:c>
      <x:c r="F24" s="63" t="str">
        <x:v>Auditorio Pab. O</x:v>
      </x:c>
      <x:c r="G24" s="63" t="str">
        <x:v>Espacio limpio/mobiliario retirado </x:v>
      </x:c>
      <x:c r="H24" s="57" t="str">
        <x:v>Alta</x:v>
      </x:c>
      <x:c r="I24" s="63" t="str">
        <x:v>Institucional</x:v>
      </x:c>
      <x:c r="J24" s="65" t="str">
        <x:v>Programado</x:v>
      </x:c>
    </x:row>
    <x:row r="25">
      <x:c r="A25" s="20" t="str">
        <x:v>2026-06-30</x:v>
      </x:c>
      <x:c r="B25" s="62" t="str">
        <x:v>10:00</x:v>
      </x:c>
      <x:c r="C25" s="63" t="str">
        <x:v>VGU</x:v>
      </x:c>
      <x:c r="D25" s="64" t="str">
        <x:v>CORREO</x:v>
      </x:c>
      <x:c r="E25" s="63" t="str">
        <x:v>Comunicación teatral efectiva</x:v>
      </x:c>
      <x:c r="F25" s="63" t="str">
        <x:v>Auditorio Pab. O</x:v>
      </x:c>
      <x:c r="G25" s="63" t="str">
        <x:v>Espacio limpio/mobiliario retirado </x:v>
      </x:c>
      <x:c r="H25" s="57" t="str">
        <x:v>Alta</x:v>
      </x:c>
      <x:c r="I25" s="63" t="str">
        <x:v>Institucional</x:v>
      </x:c>
      <x:c r="J25" s="65" t="str">
        <x:v>Programado</x:v>
      </x:c>
    </x:row>
    <x:row r="26">
      <x:c r="A26" s="20" t="str">
        <x:v>2026-06-02</x:v>
      </x:c>
      <x:c r="B26" s="62" t="str">
        <x:v>12:00</x:v>
      </x:c>
      <x:c r="C26" s="63" t="str">
        <x:v>VGU</x:v>
      </x:c>
      <x:c r="D26" s="64" t="str">
        <x:v>CORREO</x:v>
      </x:c>
      <x:c r="E26" s="63" t="str">
        <x:v>Impro para todos</x:v>
      </x:c>
      <x:c r="F26" s="63" t="str">
        <x:v>Auditorio Pab. O</x:v>
      </x:c>
      <x:c r="G26" s="63" t="str">
        <x:v>Espacio limpio/mobiliario retirado </x:v>
      </x:c>
      <x:c r="H26" s="57" t="str">
        <x:v>Alta</x:v>
      </x:c>
      <x:c r="I26" s="63" t="str">
        <x:v>Institucional</x:v>
      </x:c>
      <x:c r="J26" s="65" t="str">
        <x:v>Programado</x:v>
      </x:c>
    </x:row>
    <x:row r="27">
      <x:c r="A27" s="20" t="str">
        <x:v>2026-06-09</x:v>
      </x:c>
      <x:c r="B27" s="62" t="str">
        <x:v>12:00</x:v>
      </x:c>
      <x:c r="C27" s="63" t="str">
        <x:v>VGU</x:v>
      </x:c>
      <x:c r="D27" s="64" t="str">
        <x:v>CORREO</x:v>
      </x:c>
      <x:c r="E27" s="63" t="str">
        <x:v>Impro para todos</x:v>
      </x:c>
      <x:c r="F27" s="63" t="str">
        <x:v>Auditorio Pab. O</x:v>
      </x:c>
      <x:c r="G27" s="63" t="str">
        <x:v>Espacio limpio/mobiliario retirado </x:v>
      </x:c>
      <x:c r="H27" s="57" t="str">
        <x:v>Alta</x:v>
      </x:c>
      <x:c r="I27" s="63" t="str">
        <x:v>Institucional</x:v>
      </x:c>
      <x:c r="J27" s="65" t="str">
        <x:v>Programado</x:v>
      </x:c>
    </x:row>
    <x:row r="28">
      <x:c r="A28" s="20" t="str">
        <x:v>2026-06-16</x:v>
      </x:c>
      <x:c r="B28" s="62" t="str">
        <x:v>12:00</x:v>
      </x:c>
      <x:c r="C28" s="63" t="str">
        <x:v>VGU</x:v>
      </x:c>
      <x:c r="D28" s="64" t="str">
        <x:v>CORREO</x:v>
      </x:c>
      <x:c r="E28" s="63" t="str">
        <x:v>Impro para todos</x:v>
      </x:c>
      <x:c r="F28" s="63" t="str">
        <x:v>Auditorio Pab. O</x:v>
      </x:c>
      <x:c r="G28" s="63" t="str">
        <x:v>Espacio limpio/mobiliario retirado </x:v>
      </x:c>
      <x:c r="H28" s="57" t="str">
        <x:v>Alta</x:v>
      </x:c>
      <x:c r="I28" s="63" t="str">
        <x:v>Institucional</x:v>
      </x:c>
      <x:c r="J28" s="65" t="str">
        <x:v>Programado</x:v>
      </x:c>
    </x:row>
    <x:row r="29">
      <x:c r="A29" s="20" t="str">
        <x:v>2026-06-23</x:v>
      </x:c>
      <x:c r="B29" s="62" t="str">
        <x:v>12:00</x:v>
      </x:c>
      <x:c r="C29" s="63" t="str">
        <x:v>VGU</x:v>
      </x:c>
      <x:c r="D29" s="64" t="str">
        <x:v>CORREO</x:v>
      </x:c>
      <x:c r="E29" s="63" t="str">
        <x:v>Impro para todos</x:v>
      </x:c>
      <x:c r="F29" s="63" t="str">
        <x:v>Auditorio Pab. O</x:v>
      </x:c>
      <x:c r="G29" s="63" t="str">
        <x:v>Espacio limpio/mobiliario retirado </x:v>
      </x:c>
      <x:c r="H29" s="57" t="str">
        <x:v>Alta</x:v>
      </x:c>
      <x:c r="I29" s="63" t="str">
        <x:v>Institucional</x:v>
      </x:c>
      <x:c r="J29" s="65" t="str">
        <x:v>Programado</x:v>
      </x:c>
    </x:row>
    <x:row r="30">
      <x:c r="A30" s="20" t="str">
        <x:v>2026-06-30</x:v>
      </x:c>
      <x:c r="B30" s="62" t="str">
        <x:v>12:00</x:v>
      </x:c>
      <x:c r="C30" s="63" t="str">
        <x:v>VGU</x:v>
      </x:c>
      <x:c r="D30" s="64" t="str">
        <x:v>CORREO</x:v>
      </x:c>
      <x:c r="E30" s="63" t="str">
        <x:v>Impro para todos</x:v>
      </x:c>
      <x:c r="F30" s="63" t="str">
        <x:v>Auditorio Pab. O</x:v>
      </x:c>
      <x:c r="G30" s="63" t="str">
        <x:v>Espacio limpio/mobiliario retirado </x:v>
      </x:c>
      <x:c r="H30" s="57" t="str">
        <x:v>Alta</x:v>
      </x:c>
      <x:c r="I30" s="63" t="str">
        <x:v>Institucional</x:v>
      </x:c>
      <x:c r="J30" s="65" t="str">
        <x:v>Programado</x:v>
      </x:c>
    </x:row>
    <x:row r="31">
      <x:c r="A31" s="20" t="str">
        <x:v>2026-06-02</x:v>
      </x:c>
      <x:c r="B31" s="62" t="str">
        <x:v>14:00</x:v>
      </x:c>
      <x:c r="C31" s="63" t="str">
        <x:v>VGU</x:v>
      </x:c>
      <x:c r="D31" s="64" t="str">
        <x:v>CORREO</x:v>
      </x:c>
      <x:c r="E31" s="63" t="str">
        <x:v>Expresión corporal</x:v>
      </x:c>
      <x:c r="F31" s="63" t="str">
        <x:v>N-208</x:v>
      </x:c>
      <x:c r="G31" s="63" t="str">
        <x:v>Espacio limpio/mobiliario retirado </x:v>
      </x:c>
      <x:c r="H31" s="57" t="str">
        <x:v>Alta</x:v>
      </x:c>
      <x:c r="I31" s="63" t="str">
        <x:v>Institucional</x:v>
      </x:c>
      <x:c r="J31" s="65" t="str">
        <x:v>Programado</x:v>
      </x:c>
    </x:row>
    <x:row r="32">
      <x:c r="A32" s="20" t="str">
        <x:v>2026-06-09</x:v>
      </x:c>
      <x:c r="B32" s="62" t="str">
        <x:v>14:00</x:v>
      </x:c>
      <x:c r="C32" s="63" t="str">
        <x:v>VGU</x:v>
      </x:c>
      <x:c r="D32" s="64" t="str">
        <x:v>CORREO</x:v>
      </x:c>
      <x:c r="E32" s="63" t="str">
        <x:v>Expresión corporal</x:v>
      </x:c>
      <x:c r="F32" s="63" t="str">
        <x:v>N-208</x:v>
      </x:c>
      <x:c r="G32" s="63" t="str">
        <x:v>Espacio limpio/mobiliario retirado </x:v>
      </x:c>
      <x:c r="H32" s="57" t="str">
        <x:v>Alta</x:v>
      </x:c>
      <x:c r="I32" s="63" t="str">
        <x:v>Institucional</x:v>
      </x:c>
      <x:c r="J32" s="65" t="str">
        <x:v>Programado</x:v>
      </x:c>
    </x:row>
    <x:row r="33">
      <x:c r="A33" s="20" t="str">
        <x:v>2026-06-16</x:v>
      </x:c>
      <x:c r="B33" s="62" t="str">
        <x:v>14:00</x:v>
      </x:c>
      <x:c r="C33" s="63" t="str">
        <x:v>VGU</x:v>
      </x:c>
      <x:c r="D33" s="64" t="str">
        <x:v>CORREO</x:v>
      </x:c>
      <x:c r="E33" s="63" t="str">
        <x:v>Expresión corporal</x:v>
      </x:c>
      <x:c r="F33" s="63" t="str">
        <x:v>N-208</x:v>
      </x:c>
      <x:c r="G33" s="63" t="str">
        <x:v>Espacio limpio/mobiliario retirado </x:v>
      </x:c>
      <x:c r="H33" s="57" t="str">
        <x:v>Alta</x:v>
      </x:c>
      <x:c r="I33" s="63" t="str">
        <x:v>Institucional</x:v>
      </x:c>
      <x:c r="J33" s="65" t="str">
        <x:v>Programado</x:v>
      </x:c>
    </x:row>
    <x:row r="34">
      <x:c r="A34" s="20" t="str">
        <x:v>2026-06-23</x:v>
      </x:c>
      <x:c r="B34" s="62" t="str">
        <x:v>14:00</x:v>
      </x:c>
      <x:c r="C34" s="63" t="str">
        <x:v>VGU</x:v>
      </x:c>
      <x:c r="D34" s="64" t="str">
        <x:v>CORREO</x:v>
      </x:c>
      <x:c r="E34" s="63" t="str">
        <x:v>Expresión corporal</x:v>
      </x:c>
      <x:c r="F34" s="63" t="str">
        <x:v>N-208</x:v>
      </x:c>
      <x:c r="G34" s="63" t="str">
        <x:v>Espacio limpio/mobiliario retirado </x:v>
      </x:c>
      <x:c r="H34" s="57" t="str">
        <x:v>Alta</x:v>
      </x:c>
      <x:c r="I34" s="63" t="str">
        <x:v>Institucional</x:v>
      </x:c>
      <x:c r="J34" s="65" t="str">
        <x:v>Programado</x:v>
      </x:c>
    </x:row>
    <x:row r="35">
      <x:c r="A35" s="20" t="str">
        <x:v>2026-06-30</x:v>
      </x:c>
      <x:c r="B35" s="62" t="str">
        <x:v>14:00</x:v>
      </x:c>
      <x:c r="C35" s="63" t="str">
        <x:v>VGU</x:v>
      </x:c>
      <x:c r="D35" s="64" t="str">
        <x:v>CORREO</x:v>
      </x:c>
      <x:c r="E35" s="63" t="str">
        <x:v>Expresión corporal</x:v>
      </x:c>
      <x:c r="F35" s="63" t="str">
        <x:v>N-208</x:v>
      </x:c>
      <x:c r="G35" s="63" t="str">
        <x:v>Espacio limpio/mobiliario retirado </x:v>
      </x:c>
      <x:c r="H35" s="57" t="str">
        <x:v>Alta</x:v>
      </x:c>
      <x:c r="I35" s="63" t="str">
        <x:v>Institucional</x:v>
      </x:c>
      <x:c r="J35" s="65" t="str">
        <x:v>Programado</x:v>
      </x:c>
    </x:row>
    <x:row r="36">
      <x:c r="A36" s="20" t="str">
        <x:v>2026-06-02</x:v>
      </x:c>
      <x:c r="B36" s="62" t="str">
        <x:v>14:00</x:v>
      </x:c>
      <x:c r="C36" s="63" t="str">
        <x:v>VGU</x:v>
      </x:c>
      <x:c r="D36" s="64" t="str">
        <x:v>CORREO</x:v>
      </x:c>
      <x:c r="E36" s="63" t="str">
        <x:v>Fotografia para todos</x:v>
      </x:c>
      <x:c r="F36" s="63" t="str">
        <x:v>M-301</x:v>
      </x:c>
      <x:c r="G36" s="63" t="str">
        <x:v>Espacio limpio/mobiliario retirado </x:v>
      </x:c>
      <x:c r="H36" s="57" t="str">
        <x:v>Alta</x:v>
      </x:c>
      <x:c r="I36" s="63" t="str">
        <x:v>Institucional</x:v>
      </x:c>
      <x:c r="J36" s="65" t="str">
        <x:v>Programado</x:v>
      </x:c>
    </x:row>
    <x:row r="37">
      <x:c r="A37" s="20" t="str">
        <x:v>2026-06-09</x:v>
      </x:c>
      <x:c r="B37" s="62" t="str">
        <x:v>14:00</x:v>
      </x:c>
      <x:c r="C37" s="63" t="str">
        <x:v>VGU</x:v>
      </x:c>
      <x:c r="D37" s="64" t="str">
        <x:v>CORREO</x:v>
      </x:c>
      <x:c r="E37" s="63" t="str">
        <x:v>Fotografia para todos</x:v>
      </x:c>
      <x:c r="F37" s="63" t="str">
        <x:v>M-301</x:v>
      </x:c>
      <x:c r="G37" s="63" t="str">
        <x:v>Espacio limpio/mobiliario retirado </x:v>
      </x:c>
      <x:c r="H37" s="57" t="str">
        <x:v>Alta</x:v>
      </x:c>
      <x:c r="I37" s="63" t="str">
        <x:v>Institucional</x:v>
      </x:c>
      <x:c r="J37" s="65" t="str">
        <x:v>Programado</x:v>
      </x:c>
    </x:row>
    <x:row r="38">
      <x:c r="A38" s="20" t="str">
        <x:v>2026-06-16</x:v>
      </x:c>
      <x:c r="B38" s="62" t="str">
        <x:v>14:00</x:v>
      </x:c>
      <x:c r="C38" s="63" t="str">
        <x:v>VGU</x:v>
      </x:c>
      <x:c r="D38" s="64" t="str">
        <x:v>CORREO</x:v>
      </x:c>
      <x:c r="E38" s="63" t="str">
        <x:v>Fotografia para todos</x:v>
      </x:c>
      <x:c r="F38" s="63" t="str">
        <x:v>M-301</x:v>
      </x:c>
      <x:c r="G38" s="63" t="str">
        <x:v>Espacio limpio/mobiliario retirado </x:v>
      </x:c>
      <x:c r="H38" s="57" t="str">
        <x:v>Alta</x:v>
      </x:c>
      <x:c r="I38" s="63" t="str">
        <x:v>Institucional</x:v>
      </x:c>
      <x:c r="J38" s="65" t="str">
        <x:v>Programado</x:v>
      </x:c>
    </x:row>
    <x:row r="39">
      <x:c r="A39" s="20" t="str">
        <x:v>2026-06-23</x:v>
      </x:c>
      <x:c r="B39" s="62" t="str">
        <x:v>14:00</x:v>
      </x:c>
      <x:c r="C39" s="63" t="str">
        <x:v>VGU</x:v>
      </x:c>
      <x:c r="D39" s="64" t="str">
        <x:v>CORREO</x:v>
      </x:c>
      <x:c r="E39" s="63" t="str">
        <x:v>Fotografia para todos</x:v>
      </x:c>
      <x:c r="F39" s="63" t="str">
        <x:v>M-301</x:v>
      </x:c>
      <x:c r="G39" s="63" t="str">
        <x:v>Espacio limpio/mobiliario retirado </x:v>
      </x:c>
      <x:c r="H39" s="57" t="str">
        <x:v>Alta</x:v>
      </x:c>
      <x:c r="I39" s="63" t="str">
        <x:v>Institucional</x:v>
      </x:c>
      <x:c r="J39" s="65" t="str">
        <x:v>Programado</x:v>
      </x:c>
    </x:row>
    <x:row r="40">
      <x:c r="A40" s="20" t="str">
        <x:v>2026-06-30</x:v>
      </x:c>
      <x:c r="B40" s="62" t="str">
        <x:v>14:00</x:v>
      </x:c>
      <x:c r="C40" s="63" t="str">
        <x:v>VGU</x:v>
      </x:c>
      <x:c r="D40" s="64" t="str">
        <x:v>CORREO</x:v>
      </x:c>
      <x:c r="E40" s="63" t="str">
        <x:v>Fotografia para todos</x:v>
      </x:c>
      <x:c r="F40" s="63" t="str">
        <x:v>M-301</x:v>
      </x:c>
      <x:c r="G40" s="63" t="str">
        <x:v>Espacio limpio/mobiliario retirado </x:v>
      </x:c>
      <x:c r="H40" s="57" t="str">
        <x:v>Alta</x:v>
      </x:c>
      <x:c r="I40" s="63" t="str">
        <x:v>Institucional</x:v>
      </x:c>
      <x:c r="J40" s="65" t="str">
        <x:v>Programado</x:v>
      </x:c>
    </x:row>
    <x:row r="41">
      <x:c r="A41" s="20" t="str">
        <x:v>2026-06-02</x:v>
      </x:c>
      <x:c r="B41" s="62" t="str">
        <x:v>15:00</x:v>
      </x:c>
      <x:c r="C41" s="63" t="str">
        <x:v>VGU</x:v>
      </x:c>
      <x:c r="D41" s="64" t="str">
        <x:v>CORREO</x:v>
      </x:c>
      <x:c r="E41" s="63" t="str">
        <x:v>Club de literatura</x:v>
      </x:c>
      <x:c r="F41" s="63" t="str">
        <x:v>K-103</x:v>
      </x:c>
      <x:c r="G41" s="63" t="str">
        <x:v>Espacio limpio/Electrónicos del aula en funcionamiento</x:v>
      </x:c>
      <x:c r="H41" s="57" t="str">
        <x:v>Alta</x:v>
      </x:c>
      <x:c r="I41" s="63" t="str">
        <x:v>Institucional</x:v>
      </x:c>
      <x:c r="J41" s="65" t="str">
        <x:v>Programado</x:v>
      </x:c>
    </x:row>
    <x:row r="42">
      <x:c r="A42" s="20" t="str">
        <x:v>2026-06-09</x:v>
      </x:c>
      <x:c r="B42" s="62" t="str">
        <x:v>15:00</x:v>
      </x:c>
      <x:c r="C42" s="63" t="str">
        <x:v>VGU</x:v>
      </x:c>
      <x:c r="D42" s="64" t="str">
        <x:v>CORREO</x:v>
      </x:c>
      <x:c r="E42" s="63" t="str">
        <x:v>Club de literatura</x:v>
      </x:c>
      <x:c r="F42" s="63" t="str">
        <x:v>K-103</x:v>
      </x:c>
      <x:c r="G42" s="63" t="str">
        <x:v>Espacio limpio/Electrónicos del aula en funcionamiento</x:v>
      </x:c>
      <x:c r="H42" s="57" t="str">
        <x:v>Alta</x:v>
      </x:c>
      <x:c r="I42" s="63" t="str">
        <x:v>Institucional</x:v>
      </x:c>
      <x:c r="J42" s="65" t="str">
        <x:v>Programado</x:v>
      </x:c>
    </x:row>
    <x:row r="43">
      <x:c r="A43" s="20" t="str">
        <x:v>2026-06-16</x:v>
      </x:c>
      <x:c r="B43" s="62" t="str">
        <x:v>15:00</x:v>
      </x:c>
      <x:c r="C43" s="63" t="str">
        <x:v>VGU</x:v>
      </x:c>
      <x:c r="D43" s="64" t="str">
        <x:v>CORREO</x:v>
      </x:c>
      <x:c r="E43" s="63" t="str">
        <x:v>Club de literatura</x:v>
      </x:c>
      <x:c r="F43" s="63" t="str">
        <x:v>K-103</x:v>
      </x:c>
      <x:c r="G43" s="63" t="str">
        <x:v>Espacio limpio/Electrónicos del aula en funcionamiento</x:v>
      </x:c>
      <x:c r="H43" s="57" t="str">
        <x:v>Alta</x:v>
      </x:c>
      <x:c r="I43" s="63" t="str">
        <x:v>Institucional</x:v>
      </x:c>
      <x:c r="J43" s="65" t="str">
        <x:v>Programado</x:v>
      </x:c>
    </x:row>
    <x:row r="44">
      <x:c r="A44" s="20" t="str">
        <x:v>2026-06-23</x:v>
      </x:c>
      <x:c r="B44" s="62" t="str">
        <x:v>15:00</x:v>
      </x:c>
      <x:c r="C44" s="63" t="str">
        <x:v>VGU</x:v>
      </x:c>
      <x:c r="D44" s="64" t="str">
        <x:v>CORREO</x:v>
      </x:c>
      <x:c r="E44" s="63" t="str">
        <x:v>Club de literatura</x:v>
      </x:c>
      <x:c r="F44" s="63" t="str">
        <x:v>K-103</x:v>
      </x:c>
      <x:c r="G44" s="63" t="str">
        <x:v>Espacio limpio/Electrónicos del aula en funcionamiento</x:v>
      </x:c>
      <x:c r="H44" s="57" t="str">
        <x:v>Alta</x:v>
      </x:c>
      <x:c r="I44" s="63" t="str">
        <x:v>Institucional</x:v>
      </x:c>
      <x:c r="J44" s="65" t="str">
        <x:v>Programado</x:v>
      </x:c>
    </x:row>
    <x:row r="45">
      <x:c r="A45" s="20" t="str">
        <x:v>2026-06-30</x:v>
      </x:c>
      <x:c r="B45" s="62" t="str">
        <x:v>15:00</x:v>
      </x:c>
      <x:c r="C45" s="63" t="str">
        <x:v>VGU</x:v>
      </x:c>
      <x:c r="D45" s="64" t="str">
        <x:v>CORREO</x:v>
      </x:c>
      <x:c r="E45" s="63" t="str">
        <x:v>Club de literatura</x:v>
      </x:c>
      <x:c r="F45" s="63" t="str">
        <x:v>K-103</x:v>
      </x:c>
      <x:c r="G45" s="63" t="str">
        <x:v>Espacio limpio/Electrónicos del aula en funcionamiento</x:v>
      </x:c>
      <x:c r="H45" s="57" t="str">
        <x:v>Alta</x:v>
      </x:c>
      <x:c r="I45" s="63" t="str">
        <x:v>Institucional</x:v>
      </x:c>
      <x:c r="J45" s="65" t="str">
        <x:v>Programado</x:v>
      </x:c>
    </x:row>
    <x:row r="46">
      <x:c r="A46" s="20" t="str">
        <x:v>2026-06-02</x:v>
      </x:c>
      <x:c r="B46" s="62" t="str">
        <x:v>15:00</x:v>
      </x:c>
      <x:c r="C46" s="63" t="str">
        <x:v>VGU</x:v>
      </x:c>
      <x:c r="D46" s="64" t="str">
        <x:v>CORREO</x:v>
      </x:c>
      <x:c r="E46" s="63" t="str">
        <x:v>Comunicación teatral efectiva</x:v>
      </x:c>
      <x:c r="F46" s="63" t="str">
        <x:v>Auditorio Pab. O</x:v>
      </x:c>
      <x:c r="G46" s="63" t="str">
        <x:v>Espacio limpio/mobiliario retirado </x:v>
      </x:c>
      <x:c r="H46" s="57" t="str">
        <x:v>Alta</x:v>
      </x:c>
      <x:c r="I46" s="63" t="str">
        <x:v>Institucional</x:v>
      </x:c>
      <x:c r="J46" s="65" t="str">
        <x:v>Programado</x:v>
      </x:c>
    </x:row>
    <x:row r="47">
      <x:c r="A47" s="20" t="str">
        <x:v>2026-06-09</x:v>
      </x:c>
      <x:c r="B47" s="62" t="str">
        <x:v>15:00</x:v>
      </x:c>
      <x:c r="C47" s="63" t="str">
        <x:v>VGU</x:v>
      </x:c>
      <x:c r="D47" s="64" t="str">
        <x:v>CORREO</x:v>
      </x:c>
      <x:c r="E47" s="63" t="str">
        <x:v>Comunicación teatral efectiva</x:v>
      </x:c>
      <x:c r="F47" s="63" t="str">
        <x:v>Auditorio Pab. O</x:v>
      </x:c>
      <x:c r="G47" s="63" t="str">
        <x:v>Espacio limpio/mobiliario retirado </x:v>
      </x:c>
      <x:c r="H47" s="57" t="str">
        <x:v>Alta</x:v>
      </x:c>
      <x:c r="I47" s="63" t="str">
        <x:v>Institucional</x:v>
      </x:c>
      <x:c r="J47" s="65" t="str">
        <x:v>Programado</x:v>
      </x:c>
    </x:row>
    <x:row r="48">
      <x:c r="A48" s="20" t="str">
        <x:v>2026-06-16</x:v>
      </x:c>
      <x:c r="B48" s="62" t="str">
        <x:v>15:00</x:v>
      </x:c>
      <x:c r="C48" s="63" t="str">
        <x:v>VGU</x:v>
      </x:c>
      <x:c r="D48" s="64" t="str">
        <x:v>CORREO</x:v>
      </x:c>
      <x:c r="E48" s="63" t="str">
        <x:v>Comunicación teatral efectiva</x:v>
      </x:c>
      <x:c r="F48" s="63" t="str">
        <x:v>Auditorio Pab. O</x:v>
      </x:c>
      <x:c r="G48" s="63" t="str">
        <x:v>Espacio limpio/mobiliario retirado </x:v>
      </x:c>
      <x:c r="H48" s="57" t="str">
        <x:v>Alta</x:v>
      </x:c>
      <x:c r="I48" s="63" t="str">
        <x:v>Institucional</x:v>
      </x:c>
      <x:c r="J48" s="65" t="str">
        <x:v>Programado</x:v>
      </x:c>
    </x:row>
    <x:row r="49">
      <x:c r="A49" s="20" t="str">
        <x:v>2026-06-23</x:v>
      </x:c>
      <x:c r="B49" s="62" t="str">
        <x:v>15:00</x:v>
      </x:c>
      <x:c r="C49" s="63" t="str">
        <x:v>VGU</x:v>
      </x:c>
      <x:c r="D49" s="64" t="str">
        <x:v>CORREO</x:v>
      </x:c>
      <x:c r="E49" s="63" t="str">
        <x:v>Comunicación teatral efectiva</x:v>
      </x:c>
      <x:c r="F49" s="63" t="str">
        <x:v>Auditorio Pab. O</x:v>
      </x:c>
      <x:c r="G49" s="63" t="str">
        <x:v>Espacio limpio/mobiliario retirado </x:v>
      </x:c>
      <x:c r="H49" s="57" t="str">
        <x:v>Alta</x:v>
      </x:c>
      <x:c r="I49" s="63" t="str">
        <x:v>Institucional</x:v>
      </x:c>
      <x:c r="J49" s="65" t="str">
        <x:v>Programado</x:v>
      </x:c>
    </x:row>
    <x:row r="50">
      <x:c r="A50" s="20" t="str">
        <x:v>2026-06-30</x:v>
      </x:c>
      <x:c r="B50" s="62" t="str">
        <x:v>15:00</x:v>
      </x:c>
      <x:c r="C50" s="63" t="str">
        <x:v>VGU</x:v>
      </x:c>
      <x:c r="D50" s="64" t="str">
        <x:v>CORREO</x:v>
      </x:c>
      <x:c r="E50" s="63" t="str">
        <x:v>Comunicación teatral efectiva</x:v>
      </x:c>
      <x:c r="F50" s="63" t="str">
        <x:v>Auditorio Pab. O</x:v>
      </x:c>
      <x:c r="G50" s="63" t="str">
        <x:v>Espacio limpio/mobiliario retirado </x:v>
      </x:c>
      <x:c r="H50" s="57" t="str">
        <x:v>Alta</x:v>
      </x:c>
      <x:c r="I50" s="63" t="str">
        <x:v>Institucional</x:v>
      </x:c>
      <x:c r="J50" s="65" t="str">
        <x:v>Programado</x:v>
      </x:c>
    </x:row>
    <x:row r="51">
      <x:c r="A51" s="20" t="str">
        <x:v>2026-06-02</x:v>
      </x:c>
      <x:c r="B51" s="62" t="str">
        <x:v>16:00</x:v>
      </x:c>
      <x:c r="C51" s="63" t="str">
        <x:v>VGU</x:v>
      </x:c>
      <x:c r="D51" s="64" t="str">
        <x:v>CORREO</x:v>
      </x:c>
      <x:c r="E51" s="63" t="str">
        <x:v>Fotografia para todos</x:v>
      </x:c>
      <x:c r="F51" s="63" t="str">
        <x:v>I-202</x:v>
      </x:c>
      <x:c r="G51" s="63" t="str">
        <x:v>Espacio limpio/Electrónicos del aula en funcionamiento</x:v>
      </x:c>
      <x:c r="H51" s="57" t="str">
        <x:v>Alta</x:v>
      </x:c>
      <x:c r="I51" s="63" t="str">
        <x:v>Institucional</x:v>
      </x:c>
      <x:c r="J51" s="65" t="str">
        <x:v>Programado</x:v>
      </x:c>
    </x:row>
    <x:row r="52">
      <x:c r="A52" s="20" t="str">
        <x:v>2026-06-09</x:v>
      </x:c>
      <x:c r="B52" s="62" t="str">
        <x:v>16:00</x:v>
      </x:c>
      <x:c r="C52" s="63" t="str">
        <x:v>VGU</x:v>
      </x:c>
      <x:c r="D52" s="64" t="str">
        <x:v>CORREO</x:v>
      </x:c>
      <x:c r="E52" s="63" t="str">
        <x:v>Fotografia para todos</x:v>
      </x:c>
      <x:c r="F52" s="63" t="str">
        <x:v>I-202</x:v>
      </x:c>
      <x:c r="G52" s="63" t="str">
        <x:v>Espacio limpio/Electrónicos del aula en funcionamiento</x:v>
      </x:c>
      <x:c r="H52" s="57" t="str">
        <x:v>Alta</x:v>
      </x:c>
      <x:c r="I52" s="63" t="str">
        <x:v>Institucional</x:v>
      </x:c>
      <x:c r="J52" s="65" t="str">
        <x:v>Programado</x:v>
      </x:c>
    </x:row>
    <x:row r="53">
      <x:c r="A53" s="20" t="str">
        <x:v>2026-06-16</x:v>
      </x:c>
      <x:c r="B53" s="62" t="str">
        <x:v>16:00</x:v>
      </x:c>
      <x:c r="C53" s="63" t="str">
        <x:v>VGU</x:v>
      </x:c>
      <x:c r="D53" s="64" t="str">
        <x:v>CORREO</x:v>
      </x:c>
      <x:c r="E53" s="63" t="str">
        <x:v>Fotografia para todos</x:v>
      </x:c>
      <x:c r="F53" s="63" t="str">
        <x:v>I-202</x:v>
      </x:c>
      <x:c r="G53" s="63" t="str">
        <x:v>Espacio limpio/Electrónicos del aula en funcionamiento</x:v>
      </x:c>
      <x:c r="H53" s="57" t="str">
        <x:v>Alta</x:v>
      </x:c>
      <x:c r="I53" s="63" t="str">
        <x:v>Institucional</x:v>
      </x:c>
      <x:c r="J53" s="65" t="str">
        <x:v>Programado</x:v>
      </x:c>
    </x:row>
    <x:row r="54">
      <x:c r="A54" s="20" t="str">
        <x:v>2026-06-23</x:v>
      </x:c>
      <x:c r="B54" s="62" t="str">
        <x:v>16:00</x:v>
      </x:c>
      <x:c r="C54" s="63" t="str">
        <x:v>VGU</x:v>
      </x:c>
      <x:c r="D54" s="64" t="str">
        <x:v>CORREO</x:v>
      </x:c>
      <x:c r="E54" s="63" t="str">
        <x:v>Fotografia para todos</x:v>
      </x:c>
      <x:c r="F54" s="63" t="str">
        <x:v>I-202</x:v>
      </x:c>
      <x:c r="G54" s="63" t="str">
        <x:v>Espacio limpio/Electrónicos del aula en funcionamiento</x:v>
      </x:c>
      <x:c r="H54" s="57" t="str">
        <x:v>Alta</x:v>
      </x:c>
      <x:c r="I54" s="63" t="str">
        <x:v>Institucional</x:v>
      </x:c>
      <x:c r="J54" s="65" t="str">
        <x:v>Programado</x:v>
      </x:c>
    </x:row>
    <x:row r="55">
      <x:c r="A55" s="20" t="str">
        <x:v>2026-06-30</x:v>
      </x:c>
      <x:c r="B55" s="62" t="str">
        <x:v>16:00</x:v>
      </x:c>
      <x:c r="C55" s="63" t="str">
        <x:v>VGU</x:v>
      </x:c>
      <x:c r="D55" s="64" t="str">
        <x:v>CORREO</x:v>
      </x:c>
      <x:c r="E55" s="63" t="str">
        <x:v>Fotografia para todos</x:v>
      </x:c>
      <x:c r="F55" s="63" t="str">
        <x:v>I-202</x:v>
      </x:c>
      <x:c r="G55" s="63" t="str">
        <x:v>Espacio limpio/Electrónicos del aula en funcionamiento</x:v>
      </x:c>
      <x:c r="H55" s="57" t="str">
        <x:v>Alta</x:v>
      </x:c>
      <x:c r="I55" s="63" t="str">
        <x:v>Institucional</x:v>
      </x:c>
      <x:c r="J55" s="65" t="str">
        <x:v>Programado</x:v>
      </x:c>
    </x:row>
    <x:row r="56">
      <x:c r="A56" s="20" t="str">
        <x:v>2026-06-02</x:v>
      </x:c>
      <x:c r="B56" s="62" t="str">
        <x:v>17:00</x:v>
      </x:c>
      <x:c r="C56" s="63" t="str">
        <x:v>VGU</x:v>
      </x:c>
      <x:c r="D56" s="64" t="str">
        <x:v>CORREO</x:v>
      </x:c>
      <x:c r="E56" s="63" t="str">
        <x:v>Análisis de Poesía Contemporánea</x:v>
      </x:c>
      <x:c r="F56" s="63" t="str">
        <x:v>J-104</x:v>
      </x:c>
      <x:c r="G56" s="63" t="str">
        <x:v>Espacio limpio/Electrónicos del aula en funcionamiento</x:v>
      </x:c>
      <x:c r="H56" s="57" t="str">
        <x:v>Alta</x:v>
      </x:c>
      <x:c r="I56" s="63" t="str">
        <x:v>Institucional</x:v>
      </x:c>
      <x:c r="J56" s="65" t="str">
        <x:v>Programado</x:v>
      </x:c>
    </x:row>
    <x:row r="57">
      <x:c r="A57" s="20" t="str">
        <x:v>2026-06-09</x:v>
      </x:c>
      <x:c r="B57" s="62" t="str">
        <x:v>17:00</x:v>
      </x:c>
      <x:c r="C57" s="63" t="str">
        <x:v>VGU</x:v>
      </x:c>
      <x:c r="D57" s="64" t="str">
        <x:v>CORREO</x:v>
      </x:c>
      <x:c r="E57" s="63" t="str">
        <x:v>Análisis de Poesía Contemporánea</x:v>
      </x:c>
      <x:c r="F57" s="63" t="str">
        <x:v>J-104</x:v>
      </x:c>
      <x:c r="G57" s="63" t="str">
        <x:v>Espacio limpio/Electrónicos del aula en funcionamiento</x:v>
      </x:c>
      <x:c r="H57" s="57" t="str">
        <x:v>Alta</x:v>
      </x:c>
      <x:c r="I57" s="63" t="str">
        <x:v>Institucional</x:v>
      </x:c>
      <x:c r="J57" s="65" t="str">
        <x:v>Programado</x:v>
      </x:c>
    </x:row>
    <x:row r="58">
      <x:c r="A58" s="20" t="str">
        <x:v>2026-06-16</x:v>
      </x:c>
      <x:c r="B58" s="62" t="str">
        <x:v>17:00</x:v>
      </x:c>
      <x:c r="C58" s="63" t="str">
        <x:v>VGU</x:v>
      </x:c>
      <x:c r="D58" s="64" t="str">
        <x:v>CORREO</x:v>
      </x:c>
      <x:c r="E58" s="63" t="str">
        <x:v>Análisis de Poesía Contemporánea</x:v>
      </x:c>
      <x:c r="F58" s="63" t="str">
        <x:v>J-104</x:v>
      </x:c>
      <x:c r="G58" s="63" t="str">
        <x:v>Espacio limpio/Electrónicos del aula en funcionamiento</x:v>
      </x:c>
      <x:c r="H58" s="57" t="str">
        <x:v>Alta</x:v>
      </x:c>
      <x:c r="I58" s="63" t="str">
        <x:v>Institucional</x:v>
      </x:c>
      <x:c r="J58" s="65" t="str">
        <x:v>Programado</x:v>
      </x:c>
    </x:row>
    <x:row r="59">
      <x:c r="A59" s="20" t="str">
        <x:v>2026-06-23</x:v>
      </x:c>
      <x:c r="B59" s="62" t="str">
        <x:v>17:00</x:v>
      </x:c>
      <x:c r="C59" s="63" t="str">
        <x:v>VGU</x:v>
      </x:c>
      <x:c r="D59" s="64" t="str">
        <x:v>CORREO</x:v>
      </x:c>
      <x:c r="E59" s="63" t="str">
        <x:v>Análisis de Poesía Contemporánea</x:v>
      </x:c>
      <x:c r="F59" s="63" t="str">
        <x:v>J-104</x:v>
      </x:c>
      <x:c r="G59" s="63" t="str">
        <x:v>Espacio limpio/Electrónicos del aula en funcionamiento</x:v>
      </x:c>
      <x:c r="H59" s="57" t="str">
        <x:v>Alta</x:v>
      </x:c>
      <x:c r="I59" s="63" t="str">
        <x:v>Institucional</x:v>
      </x:c>
      <x:c r="J59" s="65" t="str">
        <x:v>Programado</x:v>
      </x:c>
    </x:row>
    <x:row r="60">
      <x:c r="A60" s="20" t="str">
        <x:v>2026-06-30</x:v>
      </x:c>
      <x:c r="B60" s="62" t="str">
        <x:v>17:00</x:v>
      </x:c>
      <x:c r="C60" s="63" t="str">
        <x:v>VGU</x:v>
      </x:c>
      <x:c r="D60" s="64" t="str">
        <x:v>CORREO</x:v>
      </x:c>
      <x:c r="E60" s="63" t="str">
        <x:v>Análisis de Poesía Contemporánea</x:v>
      </x:c>
      <x:c r="F60" s="63" t="str">
        <x:v>J-104</x:v>
      </x:c>
      <x:c r="G60" s="63" t="str">
        <x:v>Espacio limpio/Electrónicos del aula en funcionamiento</x:v>
      </x:c>
      <x:c r="H60" s="57" t="str">
        <x:v>Alta</x:v>
      </x:c>
      <x:c r="I60" s="63" t="str">
        <x:v>Institucional</x:v>
      </x:c>
      <x:c r="J60" s="65" t="str">
        <x:v>Programado</x:v>
      </x:c>
    </x:row>
    <x:row r="61">
      <x:c r="A61" s="20" t="str">
        <x:v>2026-06-02</x:v>
      </x:c>
      <x:c r="B61" s="62" t="str">
        <x:v>17:00</x:v>
      </x:c>
      <x:c r="C61" s="63" t="str">
        <x:v>VGU</x:v>
      </x:c>
      <x:c r="D61" s="64" t="str">
        <x:v>CORREO</x:v>
      </x:c>
      <x:c r="E61" s="63" t="str">
        <x:v>Impro para todos</x:v>
      </x:c>
      <x:c r="F61" s="63" t="str">
        <x:v>Auditorio Pab. O</x:v>
      </x:c>
      <x:c r="G61" s="63" t="str">
        <x:v>Espacio limpio/mobiliario retirado </x:v>
      </x:c>
      <x:c r="H61" s="57" t="str">
        <x:v>Alta</x:v>
      </x:c>
      <x:c r="I61" s="63" t="str">
        <x:v>Institucional</x:v>
      </x:c>
      <x:c r="J61" s="65" t="str">
        <x:v>Programado</x:v>
      </x:c>
    </x:row>
    <x:row r="62">
      <x:c r="A62" s="20" t="str">
        <x:v>2026-06-09</x:v>
      </x:c>
      <x:c r="B62" s="62" t="str">
        <x:v>17:00</x:v>
      </x:c>
      <x:c r="C62" s="63" t="str">
        <x:v>VGU</x:v>
      </x:c>
      <x:c r="D62" s="64" t="str">
        <x:v>CORREO</x:v>
      </x:c>
      <x:c r="E62" s="63" t="str">
        <x:v>Impro para todos</x:v>
      </x:c>
      <x:c r="F62" s="63" t="str">
        <x:v>Auditorio Pab. O</x:v>
      </x:c>
      <x:c r="G62" s="63" t="str">
        <x:v>Espacio limpio/mobiliario retirado </x:v>
      </x:c>
      <x:c r="H62" s="57" t="str">
        <x:v>Alta</x:v>
      </x:c>
      <x:c r="I62" s="63" t="str">
        <x:v>Institucional</x:v>
      </x:c>
      <x:c r="J62" s="65" t="str">
        <x:v>Programado</x:v>
      </x:c>
    </x:row>
    <x:row r="63">
      <x:c r="A63" s="20" t="str">
        <x:v>2026-06-16</x:v>
      </x:c>
      <x:c r="B63" s="62" t="str">
        <x:v>17:00</x:v>
      </x:c>
      <x:c r="C63" s="63" t="str">
        <x:v>VGU</x:v>
      </x:c>
      <x:c r="D63" s="64" t="str">
        <x:v>CORREO</x:v>
      </x:c>
      <x:c r="E63" s="63" t="str">
        <x:v>Impro para todos</x:v>
      </x:c>
      <x:c r="F63" s="63" t="str">
        <x:v>Auditorio Pab. O</x:v>
      </x:c>
      <x:c r="G63" s="63" t="str">
        <x:v>Espacio limpio/mobiliario retirado </x:v>
      </x:c>
      <x:c r="H63" s="57" t="str">
        <x:v>Alta</x:v>
      </x:c>
      <x:c r="I63" s="63" t="str">
        <x:v>Institucional</x:v>
      </x:c>
      <x:c r="J63" s="65" t="str">
        <x:v>Programado</x:v>
      </x:c>
    </x:row>
    <x:row r="64" ht="14.25" customHeight="1">
      <x:c r="A64" s="20" t="str">
        <x:v>2026-06-23</x:v>
      </x:c>
      <x:c r="B64" s="62" t="str">
        <x:v>17:00</x:v>
      </x:c>
      <x:c r="C64" s="63" t="str">
        <x:v>VGU</x:v>
      </x:c>
      <x:c r="D64" s="64" t="str">
        <x:v>CORREO</x:v>
      </x:c>
      <x:c r="E64" s="63" t="str">
        <x:v>Impro para todos</x:v>
      </x:c>
      <x:c r="F64" s="63" t="str">
        <x:v>Auditorio Pab. O</x:v>
      </x:c>
      <x:c r="G64" s="63" t="str">
        <x:v>Espacio limpio/mobiliario retirado </x:v>
      </x:c>
      <x:c r="H64" s="57" t="str">
        <x:v>Alta</x:v>
      </x:c>
      <x:c r="I64" s="63" t="str">
        <x:v>Institucional</x:v>
      </x:c>
      <x:c r="J64" s="65" t="str">
        <x:v>Programado</x:v>
      </x:c>
    </x:row>
    <x:row r="65">
      <x:c r="A65" s="20" t="str">
        <x:v>2026-06-30</x:v>
      </x:c>
      <x:c r="B65" s="62" t="str">
        <x:v>17:00</x:v>
      </x:c>
      <x:c r="C65" s="63" t="str">
        <x:v>VGU</x:v>
      </x:c>
      <x:c r="D65" s="64" t="str">
        <x:v>CORREO</x:v>
      </x:c>
      <x:c r="E65" s="63" t="str">
        <x:v>Impro para todos</x:v>
      </x:c>
      <x:c r="F65" s="63" t="str">
        <x:v>Auditorio Pab. O</x:v>
      </x:c>
      <x:c r="G65" s="63" t="str">
        <x:v>Espacio limpio/mobiliario retirado </x:v>
      </x:c>
      <x:c r="H65" s="57" t="str">
        <x:v>Alta</x:v>
      </x:c>
      <x:c r="I65" s="63" t="str">
        <x:v>Institucional</x:v>
      </x:c>
      <x:c r="J65" s="65" t="str">
        <x:v>Programado</x:v>
      </x:c>
    </x:row>
    <x:row r="66">
      <x:c r="A66" s="20" t="str">
        <x:v>2026-06-03</x:v>
      </x:c>
      <x:c r="B66" s="62" t="str">
        <x:v>18:30</x:v>
      </x:c>
      <x:c r="C66" s="63" t="str">
        <x:v>VGU</x:v>
      </x:c>
      <x:c r="D66" s="64" t="str">
        <x:v>CORREO</x:v>
      </x:c>
      <x:c r="E66" s="63" t="str">
        <x:v>Baile Moderno</x:v>
      </x:c>
      <x:c r="F66" s="63" t="str">
        <x:v>Cancha de Basket</x:v>
      </x:c>
      <x:c r="G66" s="63" t="str">
        <x:v>Espacio limpio / punto de luz</x:v>
      </x:c>
      <x:c r="H66" s="57" t="str">
        <x:v>Alta</x:v>
      </x:c>
      <x:c r="I66" s="63" t="str">
        <x:v>Institucional</x:v>
      </x:c>
      <x:c r="J66" s="65" t="str">
        <x:v>Programado</x:v>
      </x:c>
    </x:row>
    <x:row r="67">
      <x:c r="A67" s="20" t="str">
        <x:v>2026-06-10</x:v>
      </x:c>
      <x:c r="B67" s="62" t="str">
        <x:v>18:30</x:v>
      </x:c>
      <x:c r="C67" s="63" t="str">
        <x:v>VGU</x:v>
      </x:c>
      <x:c r="D67" s="64" t="str">
        <x:v>CORREO</x:v>
      </x:c>
      <x:c r="E67" s="63" t="str">
        <x:v>Baile Moderno</x:v>
      </x:c>
      <x:c r="F67" s="63" t="str">
        <x:v>Cancha de Basket</x:v>
      </x:c>
      <x:c r="G67" s="63" t="str">
        <x:v>Espacio limpio / punto de luz</x:v>
      </x:c>
      <x:c r="H67" s="57" t="str">
        <x:v>Alta</x:v>
      </x:c>
      <x:c r="I67" s="63" t="str">
        <x:v>Institucional</x:v>
      </x:c>
      <x:c r="J67" s="65" t="str">
        <x:v>Programado</x:v>
      </x:c>
    </x:row>
    <x:row r="68">
      <x:c r="A68" s="20" t="str">
        <x:v>2026-06-17</x:v>
      </x:c>
      <x:c r="B68" s="62" t="str">
        <x:v>18:30</x:v>
      </x:c>
      <x:c r="C68" s="63" t="str">
        <x:v>VGU</x:v>
      </x:c>
      <x:c r="D68" s="64" t="str">
        <x:v>CORREO</x:v>
      </x:c>
      <x:c r="E68" s="63" t="str">
        <x:v>Baile Moderno</x:v>
      </x:c>
      <x:c r="F68" s="63" t="str">
        <x:v>Cancha de Basket</x:v>
      </x:c>
      <x:c r="G68" s="63" t="str">
        <x:v>Espacio limpio / punto de luz</x:v>
      </x:c>
      <x:c r="H68" s="57" t="str">
        <x:v>Alta</x:v>
      </x:c>
      <x:c r="I68" s="63" t="str">
        <x:v>Institucional</x:v>
      </x:c>
      <x:c r="J68" s="65" t="str">
        <x:v>Programado</x:v>
      </x:c>
    </x:row>
    <x:row r="69">
      <x:c r="A69" s="20" t="str">
        <x:v>2026-06-24</x:v>
      </x:c>
      <x:c r="B69" s="62" t="str">
        <x:v>18:30</x:v>
      </x:c>
      <x:c r="C69" s="63" t="str">
        <x:v>VGU</x:v>
      </x:c>
      <x:c r="D69" s="64" t="str">
        <x:v>CORREO</x:v>
      </x:c>
      <x:c r="E69" s="63" t="str">
        <x:v>Baile Moderno</x:v>
      </x:c>
      <x:c r="F69" s="63" t="str">
        <x:v>Cancha de Basket</x:v>
      </x:c>
      <x:c r="G69" s="63" t="str">
        <x:v>Espacio limpio / punto de luz</x:v>
      </x:c>
      <x:c r="H69" s="57" t="str">
        <x:v>Alta</x:v>
      </x:c>
      <x:c r="I69" s="63" t="str">
        <x:v>Institucional</x:v>
      </x:c>
      <x:c r="J69" s="65" t="str">
        <x:v>Programado</x:v>
      </x:c>
    </x:row>
    <x:row r="70">
      <x:c r="A70" s="20" t="str">
        <x:v>2026-06-04</x:v>
      </x:c>
      <x:c r="B70" s="62" t="str">
        <x:v>13:00</x:v>
      </x:c>
      <x:c r="C70" s="63" t="str">
        <x:v>VGU</x:v>
      </x:c>
      <x:c r="D70" s="64" t="str">
        <x:v>CORREO</x:v>
      </x:c>
      <x:c r="E70" s="63" t="str">
        <x:v>Expresión corporal</x:v>
      </x:c>
      <x:c r="F70" s="63" t="str">
        <x:v>K-103</x:v>
      </x:c>
      <x:c r="G70" s="63" t="str">
        <x:v>Espacio limpio/mobiliario retirado </x:v>
      </x:c>
      <x:c r="H70" s="57" t="str">
        <x:v>Alta</x:v>
      </x:c>
      <x:c r="I70" s="63" t="str">
        <x:v>Institucional</x:v>
      </x:c>
      <x:c r="J70" s="65" t="str">
        <x:v>Programado</x:v>
      </x:c>
    </x:row>
    <x:row r="71">
      <x:c r="A71" s="20" t="str">
        <x:v>2026-06-11</x:v>
      </x:c>
      <x:c r="B71" s="62" t="str">
        <x:v>13:00</x:v>
      </x:c>
      <x:c r="C71" s="63" t="str">
        <x:v>VGU</x:v>
      </x:c>
      <x:c r="D71" s="64" t="str">
        <x:v>CORREO</x:v>
      </x:c>
      <x:c r="E71" s="63" t="str">
        <x:v>Expresión corporal</x:v>
      </x:c>
      <x:c r="F71" s="63" t="str">
        <x:v>K-103</x:v>
      </x:c>
      <x:c r="G71" s="63" t="str">
        <x:v>Espacio limpio/mobiliario retirado </x:v>
      </x:c>
      <x:c r="H71" s="57" t="str">
        <x:v>Alta</x:v>
      </x:c>
      <x:c r="I71" s="63" t="str">
        <x:v>Institucional</x:v>
      </x:c>
      <x:c r="J71" s="65" t="str">
        <x:v>Programado</x:v>
      </x:c>
    </x:row>
    <x:row r="72">
      <x:c r="A72" s="20" t="str">
        <x:v>2026-06-18</x:v>
      </x:c>
      <x:c r="B72" s="62" t="str">
        <x:v>13:00</x:v>
      </x:c>
      <x:c r="C72" s="63" t="str">
        <x:v>VGU</x:v>
      </x:c>
      <x:c r="D72" s="64" t="str">
        <x:v>CORREO</x:v>
      </x:c>
      <x:c r="E72" s="63" t="str">
        <x:v>Expresión corporal</x:v>
      </x:c>
      <x:c r="F72" s="63" t="str">
        <x:v>K-103</x:v>
      </x:c>
      <x:c r="G72" s="63" t="str">
        <x:v>Espacio limpio/mobiliario retirado </x:v>
      </x:c>
      <x:c r="H72" s="57" t="str">
        <x:v>Alta</x:v>
      </x:c>
      <x:c r="I72" s="63" t="str">
        <x:v>Institucional</x:v>
      </x:c>
      <x:c r="J72" s="65" t="str">
        <x:v>Programado</x:v>
      </x:c>
    </x:row>
    <x:row r="73">
      <x:c r="A73" s="20" t="str">
        <x:v>2026-06-25</x:v>
      </x:c>
      <x:c r="B73" s="62" t="str">
        <x:v>13:00</x:v>
      </x:c>
      <x:c r="C73" s="63" t="str">
        <x:v>VGU</x:v>
      </x:c>
      <x:c r="D73" s="64" t="str">
        <x:v>CORREO</x:v>
      </x:c>
      <x:c r="E73" s="63" t="str">
        <x:v>Expresión corporal</x:v>
      </x:c>
      <x:c r="F73" s="63" t="str">
        <x:v>K-103</x:v>
      </x:c>
      <x:c r="G73" s="63" t="str">
        <x:v>Espacio limpio/mobiliario retirado </x:v>
      </x:c>
      <x:c r="H73" s="57" t="str">
        <x:v>Alta</x:v>
      </x:c>
      <x:c r="I73" s="63" t="str">
        <x:v>Institucional</x:v>
      </x:c>
      <x:c r="J73" s="65" t="str">
        <x:v>Programado</x:v>
      </x:c>
    </x:row>
    <x:row r="74">
      <x:c r="A74" s="20" t="str">
        <x:v>2026-06-04</x:v>
      </x:c>
      <x:c r="B74" s="62" t="str">
        <x:v>15:00</x:v>
      </x:c>
      <x:c r="C74" s="63" t="str">
        <x:v>VGU</x:v>
      </x:c>
      <x:c r="D74" s="64" t="str">
        <x:v>CORREO</x:v>
      </x:c>
      <x:c r="E74" s="63" t="str">
        <x:v>Club de literatura</x:v>
      </x:c>
      <x:c r="F74" s="63" t="str">
        <x:v>J-105</x:v>
      </x:c>
      <x:c r="G74" s="63" t="str">
        <x:v>Espacio limpio/Electrónicos del aula en funcionamiento</x:v>
      </x:c>
      <x:c r="H74" s="57" t="str">
        <x:v>Alta</x:v>
      </x:c>
      <x:c r="I74" s="63" t="str">
        <x:v>Institucional</x:v>
      </x:c>
      <x:c r="J74" s="65" t="str">
        <x:v>Programado</x:v>
      </x:c>
    </x:row>
    <x:row r="75">
      <x:c r="A75" s="20" t="str">
        <x:v>2026-06-11</x:v>
      </x:c>
      <x:c r="B75" s="62" t="str">
        <x:v>15:00</x:v>
      </x:c>
      <x:c r="C75" s="63" t="str">
        <x:v>VGU</x:v>
      </x:c>
      <x:c r="D75" s="64" t="str">
        <x:v>CORREO</x:v>
      </x:c>
      <x:c r="E75" s="63" t="str">
        <x:v>Club de literatura</x:v>
      </x:c>
      <x:c r="F75" s="63" t="str">
        <x:v>J-105</x:v>
      </x:c>
      <x:c r="G75" s="63" t="str">
        <x:v>Espacio limpio/Electrónicos del aula en funcionamiento</x:v>
      </x:c>
      <x:c r="H75" s="57" t="str">
        <x:v>Alta</x:v>
      </x:c>
      <x:c r="I75" s="63" t="str">
        <x:v>Institucional</x:v>
      </x:c>
      <x:c r="J75" s="65" t="str">
        <x:v>Programado</x:v>
      </x:c>
    </x:row>
    <x:row r="76">
      <x:c r="A76" s="20" t="str">
        <x:v>2026-06-18</x:v>
      </x:c>
      <x:c r="B76" s="62" t="str">
        <x:v>15:00</x:v>
      </x:c>
      <x:c r="C76" s="63" t="str">
        <x:v>VGU</x:v>
      </x:c>
      <x:c r="D76" s="64" t="str">
        <x:v>CORREO</x:v>
      </x:c>
      <x:c r="E76" s="63" t="str">
        <x:v>Club de literatura</x:v>
      </x:c>
      <x:c r="F76" s="63" t="str">
        <x:v>J-105</x:v>
      </x:c>
      <x:c r="G76" s="63" t="str">
        <x:v>Espacio limpio/Electrónicos del aula en funcionamiento</x:v>
      </x:c>
      <x:c r="H76" s="57" t="str">
        <x:v>Alta</x:v>
      </x:c>
      <x:c r="I76" s="63" t="str">
        <x:v>Institucional</x:v>
      </x:c>
      <x:c r="J76" s="65" t="str">
        <x:v>Programado</x:v>
      </x:c>
    </x:row>
    <x:row r="77">
      <x:c r="A77" s="20" t="str">
        <x:v>2026-06-25</x:v>
      </x:c>
      <x:c r="B77" s="62" t="str">
        <x:v>15:00</x:v>
      </x:c>
      <x:c r="C77" s="63" t="str">
        <x:v>VGU</x:v>
      </x:c>
      <x:c r="D77" s="64" t="str">
        <x:v>CORREO</x:v>
      </x:c>
      <x:c r="E77" s="63" t="str">
        <x:v>Club de literatura</x:v>
      </x:c>
      <x:c r="F77" s="63" t="str">
        <x:v>J-105</x:v>
      </x:c>
      <x:c r="G77" s="63" t="str">
        <x:v>Espacio limpio/Electrónicos del aula en funcionamiento</x:v>
      </x:c>
      <x:c r="H77" s="57" t="str">
        <x:v>Alta</x:v>
      </x:c>
      <x:c r="I77" s="63" t="str">
        <x:v>Institucional</x:v>
      </x:c>
      <x:c r="J77" s="65" t="str">
        <x:v>Programado</x:v>
      </x:c>
    </x:row>
    <x:row r="78">
      <x:c r="A78" s="20" t="str">
        <x:v>2026-06-04</x:v>
      </x:c>
      <x:c r="B78" s="62" t="str">
        <x:v>17:00</x:v>
      </x:c>
      <x:c r="C78" s="63" t="str">
        <x:v>VGU</x:v>
      </x:c>
      <x:c r="D78" s="64" t="str">
        <x:v>CORREO</x:v>
      </x:c>
      <x:c r="E78" s="63" t="str">
        <x:v>Análisis de Poesía Contemporánea</x:v>
      </x:c>
      <x:c r="F78" s="63" t="str">
        <x:v>J-206</x:v>
      </x:c>
      <x:c r="G78" s="63" t="str">
        <x:v>Espacio limpio/Electrónicos del aula en funcionamiento</x:v>
      </x:c>
      <x:c r="H78" s="57" t="str">
        <x:v>Alta</x:v>
      </x:c>
      <x:c r="I78" s="63" t="str">
        <x:v>Institucional</x:v>
      </x:c>
      <x:c r="J78" s="65" t="str">
        <x:v>Programado</x:v>
      </x:c>
    </x:row>
    <x:row r="79">
      <x:c r="A79" s="20" t="str">
        <x:v>2026-06-11</x:v>
      </x:c>
      <x:c r="B79" s="62" t="str">
        <x:v>17:00</x:v>
      </x:c>
      <x:c r="C79" s="63" t="str">
        <x:v>VGU</x:v>
      </x:c>
      <x:c r="D79" s="64" t="str">
        <x:v>CORREO</x:v>
      </x:c>
      <x:c r="E79" s="63" t="str">
        <x:v>Análisis de Poesía Contemporánea</x:v>
      </x:c>
      <x:c r="F79" s="63" t="str">
        <x:v>J-206</x:v>
      </x:c>
      <x:c r="G79" s="63" t="str">
        <x:v>Espacio limpio/Electrónicos del aula en funcionamiento</x:v>
      </x:c>
      <x:c r="H79" s="57" t="str">
        <x:v>Alta</x:v>
      </x:c>
      <x:c r="I79" s="63" t="str">
        <x:v>Institucional</x:v>
      </x:c>
      <x:c r="J79" s="65" t="str">
        <x:v>Programado</x:v>
      </x:c>
    </x:row>
    <x:row r="80">
      <x:c r="A80" s="20" t="str">
        <x:v>2026-06-18</x:v>
      </x:c>
      <x:c r="B80" s="62" t="str">
        <x:v>17:00</x:v>
      </x:c>
      <x:c r="C80" s="63" t="str">
        <x:v>VGU</x:v>
      </x:c>
      <x:c r="D80" s="64" t="str">
        <x:v>CORREO</x:v>
      </x:c>
      <x:c r="E80" s="63" t="str">
        <x:v>Análisis de Poesía Contemporánea</x:v>
      </x:c>
      <x:c r="F80" s="63" t="str">
        <x:v>J-206</x:v>
      </x:c>
      <x:c r="G80" s="63" t="str">
        <x:v>Espacio limpio/Electrónicos del aula en funcionamiento</x:v>
      </x:c>
      <x:c r="H80" s="57" t="str">
        <x:v>Alta</x:v>
      </x:c>
      <x:c r="I80" s="63" t="str">
        <x:v>Institucional</x:v>
      </x:c>
      <x:c r="J80" s="65" t="str">
        <x:v>Programado</x:v>
      </x:c>
    </x:row>
    <x:row r="81">
      <x:c r="A81" s="20" t="str">
        <x:v>2026-06-25</x:v>
      </x:c>
      <x:c r="B81" s="62" t="str">
        <x:v>17:00</x:v>
      </x:c>
      <x:c r="C81" s="63" t="str">
        <x:v>VGU</x:v>
      </x:c>
      <x:c r="D81" s="64" t="str">
        <x:v>CORREO</x:v>
      </x:c>
      <x:c r="E81" s="63" t="str">
        <x:v>Análisis de Poesía Contemporánea</x:v>
      </x:c>
      <x:c r="F81" s="63" t="str">
        <x:v>J-206</x:v>
      </x:c>
      <x:c r="G81" s="63" t="str">
        <x:v>Espacio limpio/Electrónicos del aula en funcionamiento</x:v>
      </x:c>
      <x:c r="H81" s="57" t="str">
        <x:v>Alta</x:v>
      </x:c>
      <x:c r="I81" s="63" t="str">
        <x:v>Institucional</x:v>
      </x:c>
      <x:c r="J81" s="65" t="str">
        <x:v>Programado</x:v>
      </x:c>
    </x:row>
    <x:row r="82">
      <x:c r="A82" s="20" t="str">
        <x:v>2026-06-05</x:v>
      </x:c>
      <x:c r="B82" s="62" t="str">
        <x:v>10:00</x:v>
      </x:c>
      <x:c r="C82" s="63" t="str">
        <x:v>VGU</x:v>
      </x:c>
      <x:c r="D82" s="64" t="str">
        <x:v>CORREO</x:v>
      </x:c>
      <x:c r="E82" s="63" t="str">
        <x:v>Folklore peruano para todos</x:v>
      </x:c>
      <x:c r="F82" s="63" t="str">
        <x:v>Cancha de Basket</x:v>
      </x:c>
      <x:c r="G82" s="63" t="str">
        <x:v>Espacio limpio / punto de luz</x:v>
      </x:c>
      <x:c r="H82" s="57" t="str">
        <x:v>Alta</x:v>
      </x:c>
      <x:c r="I82" s="63" t="str">
        <x:v>Institucional</x:v>
      </x:c>
      <x:c r="J82" s="65" t="str">
        <x:v>Programado</x:v>
      </x:c>
    </x:row>
    <x:row r="83">
      <x:c r="A83" s="20" t="str">
        <x:v>2026-06-19</x:v>
      </x:c>
      <x:c r="B83" s="62" t="str">
        <x:v>10:00</x:v>
      </x:c>
      <x:c r="C83" s="63" t="str">
        <x:v>VGU</x:v>
      </x:c>
      <x:c r="D83" s="64" t="str">
        <x:v>CORREO</x:v>
      </x:c>
      <x:c r="E83" s="63" t="str">
        <x:v>Folklore peruano para todos</x:v>
      </x:c>
      <x:c r="F83" s="63" t="str">
        <x:v>Cancha de Basket</x:v>
      </x:c>
      <x:c r="G83" s="63" t="str">
        <x:v>Espacio limpio / punto de luz</x:v>
      </x:c>
      <x:c r="H83" s="57" t="str">
        <x:v>Alta</x:v>
      </x:c>
      <x:c r="I83" s="63" t="str">
        <x:v>Institucional</x:v>
      </x:c>
      <x:c r="J83" s="65" t="str">
        <x:v>Programado</x:v>
      </x:c>
    </x:row>
    <x:row r="84">
      <x:c r="A84" s="20" t="str">
        <x:v>2026-06-26</x:v>
      </x:c>
      <x:c r="B84" s="62" t="str">
        <x:v>10:00</x:v>
      </x:c>
      <x:c r="C84" s="63" t="str">
        <x:v>VGU</x:v>
      </x:c>
      <x:c r="D84" s="64" t="str">
        <x:v>CORREO</x:v>
      </x:c>
      <x:c r="E84" s="63" t="str">
        <x:v>Folklore peruano para todos</x:v>
      </x:c>
      <x:c r="F84" s="63" t="str">
        <x:v>Cancha de Basket</x:v>
      </x:c>
      <x:c r="G84" s="63" t="str">
        <x:v>Espacio limpio / punto de luz</x:v>
      </x:c>
      <x:c r="H84" s="57" t="str">
        <x:v>Alta</x:v>
      </x:c>
      <x:c r="I84" s="63" t="str">
        <x:v>Institucional</x:v>
      </x:c>
      <x:c r="J84" s="65" t="str">
        <x:v>Programado</x:v>
      </x:c>
    </x:row>
    <x:row r="85">
      <x:c r="A85" s="20" t="str">
        <x:v>2026-06-12</x:v>
      </x:c>
      <x:c r="B85" s="62" t="str">
        <x:v>10:00</x:v>
      </x:c>
      <x:c r="C85" s="63" t="str">
        <x:v>VGU</x:v>
      </x:c>
      <x:c r="D85" s="64" t="str">
        <x:v>CORREO</x:v>
      </x:c>
      <x:c r="E85" s="63" t="str">
        <x:v>Folklore peruano para todos</x:v>
      </x:c>
      <x:c r="F85" s="63" t="str">
        <x:v>LOTE 28 - 12/06</x:v>
      </x:c>
      <x:c r="G85" s="63" t="str">
        <x:v>Espacio limpio / punto de luz</x:v>
      </x:c>
      <x:c r="H85" s="57" t="str">
        <x:v>Alta</x:v>
      </x:c>
      <x:c r="I85" s="63" t="str">
        <x:v>Institucional</x:v>
      </x:c>
      <x:c r="J85" s="65" t="str">
        <x:v>Programado</x:v>
      </x:c>
    </x:row>
    <x:row r="86">
      <x:c r="A86" s="20" t="str">
        <x:v>2026-06-05</x:v>
      </x:c>
      <x:c r="B86" s="62" t="str">
        <x:v>11:00</x:v>
      </x:c>
      <x:c r="C86" s="63" t="str">
        <x:v>VGU</x:v>
      </x:c>
      <x:c r="D86" s="64" t="str">
        <x:v>CORREO</x:v>
      </x:c>
      <x:c r="E86" s="63" t="str">
        <x:v>Dibujo y pintura</x:v>
      </x:c>
      <x:c r="F86" s="63" t="str">
        <x:v>I-301</x:v>
      </x:c>
      <x:c r="G86" s="63" t="str">
        <x:v>Espacio limpio/Electrónicos del aula en funcionamiento</x:v>
      </x:c>
      <x:c r="H86" s="57" t="str">
        <x:v>Alta</x:v>
      </x:c>
      <x:c r="I86" s="63" t="str">
        <x:v>Institucional</x:v>
      </x:c>
      <x:c r="J86" s="65" t="str">
        <x:v>Programado</x:v>
      </x:c>
    </x:row>
    <x:row r="87">
      <x:c r="A87" s="20" t="str">
        <x:v>2026-06-12</x:v>
      </x:c>
      <x:c r="B87" s="62" t="str">
        <x:v>11:00</x:v>
      </x:c>
      <x:c r="C87" s="63" t="str">
        <x:v>VGU</x:v>
      </x:c>
      <x:c r="D87" s="64" t="str">
        <x:v>CORREO</x:v>
      </x:c>
      <x:c r="E87" s="63" t="str">
        <x:v>Dibujo y pintura</x:v>
      </x:c>
      <x:c r="F87" s="63" t="str">
        <x:v>I-301</x:v>
      </x:c>
      <x:c r="G87" s="63" t="str">
        <x:v>Espacio limpio/Electrónicos del aula en funcionamiento</x:v>
      </x:c>
      <x:c r="H87" s="57" t="str">
        <x:v>Alta</x:v>
      </x:c>
      <x:c r="I87" s="63" t="str">
        <x:v>Institucional</x:v>
      </x:c>
      <x:c r="J87" s="65" t="str">
        <x:v>Programado</x:v>
      </x:c>
    </x:row>
    <x:row r="88">
      <x:c r="A88" s="20" t="str">
        <x:v>2026-06-19</x:v>
      </x:c>
      <x:c r="B88" s="62" t="str">
        <x:v>11:00</x:v>
      </x:c>
      <x:c r="C88" s="63" t="str">
        <x:v>VGU</x:v>
      </x:c>
      <x:c r="D88" s="64" t="str">
        <x:v>CORREO</x:v>
      </x:c>
      <x:c r="E88" s="63" t="str">
        <x:v>Dibujo y pintura</x:v>
      </x:c>
      <x:c r="F88" s="63" t="str">
        <x:v>I-301</x:v>
      </x:c>
      <x:c r="G88" s="63" t="str">
        <x:v>Espacio limpio/Electrónicos del aula en funcionamiento</x:v>
      </x:c>
      <x:c r="H88" s="57" t="str">
        <x:v>Alta</x:v>
      </x:c>
      <x:c r="I88" s="63" t="str">
        <x:v>Institucional</x:v>
      </x:c>
      <x:c r="J88" s="65" t="str">
        <x:v>Programado</x:v>
      </x:c>
    </x:row>
    <x:row r="89">
      <x:c r="A89" s="20" t="str">
        <x:v>2026-06-26</x:v>
      </x:c>
      <x:c r="B89" s="62" t="str">
        <x:v>11:00</x:v>
      </x:c>
      <x:c r="C89" s="63" t="str">
        <x:v>VGU</x:v>
      </x:c>
      <x:c r="D89" s="64" t="str">
        <x:v>CORREO</x:v>
      </x:c>
      <x:c r="E89" s="63" t="str">
        <x:v>Dibujo y pintura</x:v>
      </x:c>
      <x:c r="F89" s="63" t="str">
        <x:v>I-301</x:v>
      </x:c>
      <x:c r="G89" s="63" t="str">
        <x:v>Espacio limpio/Electrónicos del aula en funcionamiento</x:v>
      </x:c>
      <x:c r="H89" s="57" t="str">
        <x:v>Alta</x:v>
      </x:c>
      <x:c r="I89" s="63" t="str">
        <x:v>Institucional</x:v>
      </x:c>
      <x:c r="J89" s="65" t="str">
        <x:v>Programado</x:v>
      </x:c>
    </x:row>
    <x:row r="90">
      <x:c r="A90" s="20" t="str">
        <x:v>2026-06-05</x:v>
      </x:c>
      <x:c r="B90" s="62" t="str">
        <x:v>12:00</x:v>
      </x:c>
      <x:c r="C90" s="63" t="str">
        <x:v>VGU</x:v>
      </x:c>
      <x:c r="D90" s="64" t="str">
        <x:v>CORREO</x:v>
      </x:c>
      <x:c r="E90" s="63" t="str">
        <x:v>Folklore peruano para todos</x:v>
      </x:c>
      <x:c r="F90" s="63" t="str">
        <x:v>Zona Deporte-Cultura</x:v>
      </x:c>
      <x:c r="G90" s="63" t="str">
        <x:v>Espacio limpio / punto de luz</x:v>
      </x:c>
      <x:c r="H90" s="57" t="str">
        <x:v>Alta</x:v>
      </x:c>
      <x:c r="I90" s="63" t="str">
        <x:v>Institucional</x:v>
      </x:c>
      <x:c r="J90" s="65" t="str">
        <x:v>Programado</x:v>
      </x:c>
    </x:row>
    <x:row r="91">
      <x:c r="A91" s="20" t="str">
        <x:v>2026-06-12</x:v>
      </x:c>
      <x:c r="B91" s="62" t="str">
        <x:v>12:00</x:v>
      </x:c>
      <x:c r="C91" s="63" t="str">
        <x:v>VGU</x:v>
      </x:c>
      <x:c r="D91" s="64" t="str">
        <x:v>CORREO</x:v>
      </x:c>
      <x:c r="E91" s="63" t="str">
        <x:v>Folklore peruano para todos</x:v>
      </x:c>
      <x:c r="F91" s="63" t="str">
        <x:v>Zona Deporte-Cultura</x:v>
      </x:c>
      <x:c r="G91" s="63" t="str">
        <x:v>Espacio limpio / punto de luz</x:v>
      </x:c>
      <x:c r="H91" s="57" t="str">
        <x:v>Alta</x:v>
      </x:c>
      <x:c r="I91" s="63" t="str">
        <x:v>Institucional</x:v>
      </x:c>
      <x:c r="J91" s="65" t="str">
        <x:v>Programado</x:v>
      </x:c>
    </x:row>
    <x:row r="92">
      <x:c r="A92" s="20" t="str">
        <x:v>2026-06-19</x:v>
      </x:c>
      <x:c r="B92" s="62" t="str">
        <x:v>12:00</x:v>
      </x:c>
      <x:c r="C92" s="63" t="str">
        <x:v>VGU</x:v>
      </x:c>
      <x:c r="D92" s="64" t="str">
        <x:v>CORREO</x:v>
      </x:c>
      <x:c r="E92" s="63" t="str">
        <x:v>Folklore peruano para todos</x:v>
      </x:c>
      <x:c r="F92" s="63" t="str">
        <x:v>Zona Deporte-Cultura</x:v>
      </x:c>
      <x:c r="G92" s="63" t="str">
        <x:v>Espacio limpio / punto de luz</x:v>
      </x:c>
      <x:c r="H92" s="57" t="str">
        <x:v>Alta</x:v>
      </x:c>
      <x:c r="I92" s="63" t="str">
        <x:v>Institucional</x:v>
      </x:c>
      <x:c r="J92" s="65" t="str">
        <x:v>Programado</x:v>
      </x:c>
    </x:row>
    <x:row r="93">
      <x:c r="A93" s="20" t="str">
        <x:v>2026-06-26</x:v>
      </x:c>
      <x:c r="B93" s="62" t="str">
        <x:v>12:00</x:v>
      </x:c>
      <x:c r="C93" s="63" t="str">
        <x:v>VGU</x:v>
      </x:c>
      <x:c r="D93" s="64" t="str">
        <x:v>CORREO</x:v>
      </x:c>
      <x:c r="E93" s="63" t="str">
        <x:v>Folklore peruano para todos</x:v>
      </x:c>
      <x:c r="F93" s="63" t="str">
        <x:v>Zona Deporte-Cultura</x:v>
      </x:c>
      <x:c r="G93" s="63" t="str">
        <x:v>Espacio limpio / punto de luz</x:v>
      </x:c>
      <x:c r="H93" s="57" t="str">
        <x:v>Alta</x:v>
      </x:c>
      <x:c r="I93" s="63" t="str">
        <x:v>Institucional</x:v>
      </x:c>
      <x:c r="J93" s="65" t="str">
        <x:v>Programado</x:v>
      </x:c>
    </x:row>
    <x:row r="94">
      <x:c r="A94" s="20" t="str">
        <x:v>2026-07-06</x:v>
      </x:c>
      <x:c r="B94" s="62" t="str">
        <x:v>18:30</x:v>
      </x:c>
      <x:c r="C94" s="63" t="str">
        <x:v>VGU</x:v>
      </x:c>
      <x:c r="D94" s="64" t="str">
        <x:v>CORREO</x:v>
      </x:c>
      <x:c r="E94" s="63" t="str">
        <x:v>Baile Moderno</x:v>
      </x:c>
      <x:c r="F94" s="63" t="str">
        <x:v>Cancha de Voley</x:v>
      </x:c>
      <x:c r="G94" s="63" t="str">
        <x:v>Espacio limpio / punto de luz / Retirar malla de voley</x:v>
      </x:c>
      <x:c r="H94" s="57" t="str">
        <x:v>Alta</x:v>
      </x:c>
      <x:c r="I94" s="63" t="str">
        <x:v>Institucional</x:v>
      </x:c>
      <x:c r="J94" s="65" t="str">
        <x:v>Programado</x:v>
      </x:c>
    </x:row>
    <x:row r="95">
      <x:c r="A95" s="20" t="str">
        <x:v>2026-07-01</x:v>
      </x:c>
      <x:c r="B95" s="62" t="str">
        <x:v>18:30</x:v>
      </x:c>
      <x:c r="C95" s="63" t="str">
        <x:v>VGU</x:v>
      </x:c>
      <x:c r="D95" s="64" t="str">
        <x:v>CORREO</x:v>
      </x:c>
      <x:c r="E95" s="63" t="str">
        <x:v>Baile Moderno</x:v>
      </x:c>
      <x:c r="F95" s="63" t="str">
        <x:v>Cancha de Basket</x:v>
      </x:c>
      <x:c r="G95" s="63" t="str">
        <x:v>Espacio limpio / punto de luz</x:v>
      </x:c>
      <x:c r="H95" s="57" t="str">
        <x:v>Alta</x:v>
      </x:c>
      <x:c r="I95" s="63" t="str">
        <x:v>Institucional</x:v>
      </x:c>
      <x:c r="J95" s="65" t="str">
        <x:v>Programado</x:v>
      </x:c>
    </x:row>
    <x:row r="96">
      <x:c r="A96" s="20" t="str">
        <x:v>2026-07-02</x:v>
      </x:c>
      <x:c r="B96" s="62" t="str">
        <x:v>13:00</x:v>
      </x:c>
      <x:c r="C96" s="63" t="str">
        <x:v>VGU</x:v>
      </x:c>
      <x:c r="D96" s="64" t="str">
        <x:v>CORREO</x:v>
      </x:c>
      <x:c r="E96" s="63" t="str">
        <x:v>Expresión corporal</x:v>
      </x:c>
      <x:c r="F96" s="63" t="str">
        <x:v>K-103</x:v>
      </x:c>
      <x:c r="G96" s="63" t="str">
        <x:v>Espacio limpio/mobiliario retirado </x:v>
      </x:c>
      <x:c r="H96" s="57" t="str">
        <x:v>Alta</x:v>
      </x:c>
      <x:c r="I96" s="63" t="str">
        <x:v>Institucional</x:v>
      </x:c>
      <x:c r="J96" s="65" t="str">
        <x:v>Programado</x:v>
      </x:c>
    </x:row>
    <x:row r="97">
      <x:c r="A97" s="20" t="str">
        <x:v>2026-07-02</x:v>
      </x:c>
      <x:c r="B97" s="62" t="str">
        <x:v>15:00</x:v>
      </x:c>
      <x:c r="C97" s="63" t="str">
        <x:v>VGU</x:v>
      </x:c>
      <x:c r="D97" s="64" t="str">
        <x:v>CORREO</x:v>
      </x:c>
      <x:c r="E97" s="63" t="str">
        <x:v>Club de literatura</x:v>
      </x:c>
      <x:c r="F97" s="63" t="str">
        <x:v>J-105</x:v>
      </x:c>
      <x:c r="G97" s="63" t="str">
        <x:v>Espacio limpio/Electrónicos del aula en funcionamiento</x:v>
      </x:c>
      <x:c r="H97" s="57" t="str">
        <x:v>Alta</x:v>
      </x:c>
      <x:c r="I97" s="63" t="str">
        <x:v>Institucional</x:v>
      </x:c>
      <x:c r="J97" s="65" t="str">
        <x:v>Programado</x:v>
      </x:c>
    </x:row>
    <x:row r="98">
      <x:c r="A98" s="20" t="str">
        <x:v>2026-07-02</x:v>
      </x:c>
      <x:c r="B98" s="62" t="str">
        <x:v>17:00</x:v>
      </x:c>
      <x:c r="C98" s="63" t="str">
        <x:v>VGU</x:v>
      </x:c>
      <x:c r="D98" s="64" t="str">
        <x:v>CORREO</x:v>
      </x:c>
      <x:c r="E98" s="63" t="str">
        <x:v>Análisis de Poesía Contemporánea</x:v>
      </x:c>
      <x:c r="F98" s="63" t="str">
        <x:v>J-206</x:v>
      </x:c>
      <x:c r="G98" s="63" t="str">
        <x:v>Espacio limpio/Electrónicos del aula en funcionamiento</x:v>
      </x:c>
      <x:c r="H98" s="57" t="str">
        <x:v>Alta</x:v>
      </x:c>
      <x:c r="I98" s="63" t="str">
        <x:v>Institucional</x:v>
      </x:c>
      <x:c r="J98" s="65" t="str">
        <x:v>Programado</x:v>
      </x:c>
    </x:row>
    <x:row r="99">
      <x:c r="A99" s="20" t="str">
        <x:v>2026-07-03</x:v>
      </x:c>
      <x:c r="B99" s="62" t="str">
        <x:v>10:00</x:v>
      </x:c>
      <x:c r="C99" s="63" t="str">
        <x:v>VGU</x:v>
      </x:c>
      <x:c r="D99" s="64" t="str">
        <x:v>CORREO</x:v>
      </x:c>
      <x:c r="E99" s="63" t="str">
        <x:v>Folklore peruano para todos</x:v>
      </x:c>
      <x:c r="F99" s="63" t="str">
        <x:v>Cancha de Basket</x:v>
      </x:c>
      <x:c r="G99" s="63" t="str">
        <x:v>Espacio limpio / punto de luz</x:v>
      </x:c>
      <x:c r="H99" s="57" t="str">
        <x:v>Alta</x:v>
      </x:c>
      <x:c r="I99" s="63" t="str">
        <x:v>Institucional</x:v>
      </x:c>
      <x:c r="J99" s="65" t="str">
        <x:v>Programado</x:v>
      </x:c>
    </x:row>
    <x:row r="100">
      <x:c r="A100" s="20" t="str">
        <x:v>2026-07-03</x:v>
      </x:c>
      <x:c r="B100" s="62" t="str">
        <x:v>11:00</x:v>
      </x:c>
      <x:c r="C100" s="63" t="str">
        <x:v>VGU</x:v>
      </x:c>
      <x:c r="D100" s="64" t="str">
        <x:v>CORREO</x:v>
      </x:c>
      <x:c r="E100" s="63" t="str">
        <x:v>Dibujo y pintura</x:v>
      </x:c>
      <x:c r="F100" s="63" t="str">
        <x:v>I-301</x:v>
      </x:c>
      <x:c r="G100" s="63" t="str">
        <x:v>Espacio limpio/Electrónicos del aula en funcionamiento</x:v>
      </x:c>
      <x:c r="H100" s="57" t="str">
        <x:v>Alta</x:v>
      </x:c>
      <x:c r="I100" s="63" t="str">
        <x:v>Institucional</x:v>
      </x:c>
      <x:c r="J100" s="65" t="str">
        <x:v>Programado</x:v>
      </x:c>
    </x:row>
    <x:row r="101">
      <x:c r="A101" s="20" t="str">
        <x:v>2026-07-03</x:v>
      </x:c>
      <x:c r="B101" s="62" t="str">
        <x:v>12:00</x:v>
      </x:c>
      <x:c r="C101" s="63" t="str">
        <x:v>VGU</x:v>
      </x:c>
      <x:c r="D101" s="64" t="str">
        <x:v>CORREO</x:v>
      </x:c>
      <x:c r="E101" s="63" t="str">
        <x:v>Folklore peruano para todos</x:v>
      </x:c>
      <x:c r="F101" s="63" t="str">
        <x:v>Zona Deporte-Cultura</x:v>
      </x:c>
      <x:c r="G101" s="63" t="str">
        <x:v>Espacio limpio / punto de luz</x:v>
      </x:c>
      <x:c r="H101" s="57" t="str">
        <x:v>Alta</x:v>
      </x:c>
      <x:c r="I101" s="63" t="str">
        <x:v>Institucional</x:v>
      </x:c>
      <x:c r="J101" s="65" t="str">
        <x:v>Programado</x:v>
      </x:c>
    </x:row>
    <x:row r="102" ht="14.25" customHeight="1">
      <x:c r="A102" s="20" t="str">
        <x:v>2026-06-09</x:v>
      </x:c>
      <x:c r="B102" s="62" t="str">
        <x:v>11:19</x:v>
      </x:c>
      <x:c r="C102" s="63" t="str">
        <x:v>INGIENERIA AMBIENTAL</x:v>
      </x:c>
      <x:c r="D102" s="64" t="str">
        <x:v>81688</x:v>
      </x:c>
      <x:c r="E102" s="63" t="str">
        <x:v>Semana de Ingeniería</x:v>
      </x:c>
      <x:c r="F102" s="63" t="str">
        <x:v>Sede Villa – Hall del Pabellón N</x:v>
      </x:c>
      <x:c r="G102" s="63" t="str">
        <x:v>3 toldos / 3 mesas  / 6 sillas / 1televisor </x:v>
      </x:c>
      <x:c r="H102" s="57" t="str">
        <x:v>Alta</x:v>
      </x:c>
      <x:c r="I102" s="63" t="str">
        <x:v>Institucional</x:v>
      </x:c>
      <x:c r="J102" s="65" t="str">
        <x:v>Programado</x:v>
      </x:c>
    </x:row>
    <x:row r="103" ht="14.25" customHeight="1">
      <x:c r="A103" s="20" t="str">
        <x:v>2026-06-13</x:v>
      </x:c>
      <x:c r="B103" s="62" t="str">
        <x:v>11:19</x:v>
      </x:c>
      <x:c r="C103" s="63" t="str">
        <x:v>INGIENERIA AMBIENTAL</x:v>
      </x:c>
      <x:c r="D103" s="64" t="str">
        <x:v>81685</x:v>
      </x:c>
      <x:c r="E103" s="63" t="str">
        <x:v>Feria Empresarial</x:v>
      </x:c>
      <x:c r="F103" s="63" t="str">
        <x:v>Sede Villa – Jardin Lote 28</x:v>
      </x:c>
      <x:c r="G103" s="63" t="str">
        <x:v>8 toldos / 8 mesas / 8 manteles / 16 sillas (2 por mesas)</x:v>
      </x:c>
      <x:c r="H103" s="57" t="str">
        <x:v>Alta</x:v>
      </x:c>
      <x:c r="I103" s="63" t="str">
        <x:v>Institucional</x:v>
      </x:c>
      <x:c r="J103" s="65" t="str">
        <x:v>Programado</x:v>
      </x:c>
    </x:row>
    <x:row r="104" ht="14.25" customHeight="1">
      <x:c r="A104" s="20" t="str">
        <x:v>2026-06-17</x:v>
      </x:c>
      <x:c r="B104" s="62" t="str">
        <x:v>18:31</x:v>
      </x:c>
      <x:c r="C104" s="63" t="str">
        <x:v>MEDICINA HUMANA</x:v>
      </x:c>
      <x:c r="D104" s="64" t="str">
        <x:v>CORREO</x:v>
      </x:c>
      <x:c r="E104" s="63" t="str">
        <x:v>Campaña Donacion de Sangre</x:v>
      </x:c>
      <x:c r="F104" s="63" t="str">
        <x:v>Clínica de Simulación</x:v>
      </x:c>
      <x:c r="G104" s="63" t="str">
        <x:v>5 mesas / 25 sillas </x:v>
      </x:c>
      <x:c r="H104" s="57" t="str">
        <x:v>Alta</x:v>
      </x:c>
      <x:c r="I104" s="63" t="str">
        <x:v>Institucional</x:v>
      </x:c>
      <x:c r="J104" s="65" t="str">
        <x:v>Programado</x:v>
      </x:c>
    </x:row>
    <x:row r="105" ht="14.25" customHeight="1">
      <x:c r="A105" s="20" t="str">
        <x:v>2026-06-18</x:v>
      </x:c>
      <x:c r="B105" s="62" t="str">
        <x:v>08:30</x:v>
      </x:c>
      <x:c r="C105" s="63" t="str">
        <x:v>MEDICINA HUMANA</x:v>
      </x:c>
      <x:c r="D105" s="64" t="str">
        <x:v>CORREO</x:v>
      </x:c>
      <x:c r="E105" s="63" t="str">
        <x:v>Campaña Donacion de Sangre</x:v>
      </x:c>
      <x:c r="F105" s="63" t="str">
        <x:v>Clínica de Simulación</x:v>
      </x:c>
      <x:c r="G105" s="63" t="str">
        <x:v>5 mesas / 25 sillas </x:v>
      </x:c>
      <x:c r="H105" s="57" t="str">
        <x:v>Alta</x:v>
      </x:c>
      <x:c r="I105" s="63" t="str">
        <x:v>Institucional</x:v>
      </x:c>
      <x:c r="J105" s="65" t="str">
        <x:v>Programado</x:v>
      </x:c>
    </x:row>
    <x:row r="106" ht="14.25" customHeight="1">
      <x:c r="A106" s="20" t="str">
        <x:v>2026-06-10</x:v>
      </x:c>
      <x:c r="B106" s="62" t="str">
        <x:v>18:42</x:v>
      </x:c>
      <x:c r="C106" s="63" t="str">
        <x:v>INGIENERIA AMBIENTAL</x:v>
      </x:c>
      <x:c r="D106" s="64" t="str">
        <x:v>CORREO</x:v>
      </x:c>
      <x:c r="E106" s="63" t="str">
        <x:v>INGENIERA ACUICOLA</x:v>
      </x:c>
      <x:c r="F106" s="63" t="str">
        <x:v>Hall del Pabellón N</x:v>
      </x:c>
      <x:c r="G106" s="63" t="str">
        <x:v>60 sillas / tv con rack / banderas de cientifica y peru / podium</x:v>
      </x:c>
      <x:c r="H106" s="57" t="str">
        <x:v>Alta</x:v>
      </x:c>
      <x:c r="I106" s="63" t="str">
        <x:v>Institucional</x:v>
      </x:c>
      <x:c r="J106" s="65" t="str">
        <x:v>Programado</x:v>
      </x:c>
    </x:row>
    <x:row r="107">
      <x:c r="A107" s="20" t="str">
        <x:v>2026-06-16</x:v>
      </x:c>
      <x:c r="B107" s="62" t="str">
        <x:v>18:42</x:v>
      </x:c>
      <x:c r="C107" s="63" t="str">
        <x:v>VGU</x:v>
      </x:c>
      <x:c r="D107" s="64" t="str">
        <x:v>9744</x:v>
      </x:c>
      <x:c r="E107" s="63" t="str">
        <x:v>Campaña Certijoven </x:v>
      </x:c>
      <x:c r="F107" s="63" t="str">
        <x:v>Pabellon I - pasillo </x:v>
      </x:c>
      <x:c r="G107" s="63" t="str">
        <x:v>1 mesa con mantel / 2 sillas </x:v>
      </x:c>
      <x:c r="H107" s="57" t="str">
        <x:v>Alta</x:v>
      </x:c>
      <x:c r="I107" s="63" t="str">
        <x:v>Institucional</x:v>
      </x:c>
      <x:c r="J107" s="65" t="str">
        <x:v>Programado</x:v>
      </x:c>
    </x:row>
    <x:row r="108">
      <x:c r="A108" s="20" t="str">
        <x:v>2026-06-11</x:v>
      </x:c>
      <x:c r="B108" s="62" t="str">
        <x:v>09:08</x:v>
      </x:c>
      <x:c r="C108" s="63" t="str">
        <x:v>INGIENERIA AMBIENTAL</x:v>
      </x:c>
      <x:c r="D108" s="64" t="str">
        <x:v>9744</x:v>
      </x:c>
      <x:c r="E108" s="63" t="str">
        <x:v>Gaming Tournament</x:v>
      </x:c>
      <x:c r="F108" s="63" t="str">
        <x:v>Auditorio O203</x:v>
      </x:c>
      <x:c r="G108" s="63" t="str">
        <x:v>3 mesas con mantel </x:v>
      </x:c>
      <x:c r="H108" s="57" t="str">
        <x:v>Alta</x:v>
      </x:c>
      <x:c r="I108" s="63" t="str">
        <x:v>Institucional</x:v>
      </x:c>
      <x:c r="J108" s="65" t="str">
        <x:v>Programado</x:v>
      </x:c>
    </x:row>
    <x:row r="109" ht="14.25" customHeight="1">
      <x:c r="A109" s="20" t="str">
        <x:v>2026-06-11</x:v>
      </x:c>
      <x:c r="B109" s="62" t="str">
        <x:v>08:00</x:v>
      </x:c>
      <x:c r="C109" s="63" t="str">
        <x:v>CARRERA DE ENFERMERIA </x:v>
      </x:c>
      <x:c r="D109" s="64" t="str">
        <x:v>9759</x:v>
      </x:c>
      <x:c r="E109" s="63" t="str">
        <x:v>Campaña por el día nacional de la prueba rápida del VIH</x:v>
      </x:c>
      <x:c r="F109" s="63" t="str">
        <x:v>Jardín de pabellón N</x:v>
      </x:c>
      <x:c r="G109" s="63" t="str">
        <x:v>5 toldos / 6 mesas / 24 sillas / 6 manteles / puntos de energia</x:v>
      </x:c>
      <x:c r="H109" s="57" t="str">
        <x:v>Alta</x:v>
      </x:c>
      <x:c r="I109" s="63" t="str">
        <x:v>Institucional</x:v>
      </x:c>
      <x:c r="J109" s="65" t="str">
        <x:v>Programado</x:v>
      </x:c>
    </x:row>
    <x:row r="110" ht="28.5">
      <x:c r="A110" s="20" t="str">
        <x:v>2026-06-12</x:v>
      </x:c>
      <x:c r="B110" s="62" t="str">
        <x:v>08:00</x:v>
      </x:c>
      <x:c r="C110" s="63" t="str">
        <x:v>AREA DE CCBB</x:v>
      </x:c>
      <x:c r="D110" s="64" t="str">
        <x:v>9762</x:v>
      </x:c>
      <x:c r="E110" s="63" t="str">
        <x:v>Coloquio Internacional</x:v>
      </x:c>
      <x:c r="F110" s="63" t="str">
        <x:v>Auditorio O203</x:v>
      </x:c>
      <x:c r="G110" s="63" t="str">
        <x:v>5 sillones / 2 mesas de registro / 2 sillas / 3 mesas para catering / 3 manteles / totem colloquio / 73 sillas </x:v>
      </x:c>
      <x:c r="H110" s="57" t="str">
        <x:v>Alta</x:v>
      </x:c>
      <x:c r="I110" s="63" t="str">
        <x:v>Institucional</x:v>
      </x:c>
      <x:c r="J110" s="65" t="str">
        <x:v>Programado</x:v>
      </x:c>
    </x:row>
    <x:row r="111" ht="28.5">
      <x:c r="A111" s="20" t="str">
        <x:v>2026-06-13</x:v>
      </x:c>
      <x:c r="B111" s="62" t="str">
        <x:v>08:00</x:v>
      </x:c>
      <x:c r="C111" s="63" t="str">
        <x:v>AREA DE CCBB</x:v>
      </x:c>
      <x:c r="D111" s="64" t="str">
        <x:v>9764</x:v>
      </x:c>
      <x:c r="E111" s="63" t="str">
        <x:v>Coloquio Internacional</x:v>
      </x:c>
      <x:c r="F111" s="63" t="str">
        <x:v>Auditorio O203</x:v>
      </x:c>
      <x:c r="G111" s="63" t="str">
        <x:v>5 sillones / 2 mesas de registro / 2 sillas / 3 mesas para catering / 3 manteles / totem colloquio / 73 sillas </x:v>
      </x:c>
      <x:c r="H111" s="57" t="str">
        <x:v>Alta</x:v>
      </x:c>
      <x:c r="I111" s="63" t="str">
        <x:v>Institucional</x:v>
      </x:c>
      <x:c r="J111" s="65" t="str">
        <x:v>Programado</x:v>
      </x:c>
    </x:row>
    <x:row r="112" ht="28.5">
      <x:c r="A112" s="20" t="str">
        <x:v>2026-06-13</x:v>
      </x:c>
      <x:c r="B112" s="62" t="str">
        <x:v>08:00</x:v>
      </x:c>
      <x:c r="C112" s="63" t="str">
        <x:v>AREA DE CCBB</x:v>
      </x:c>
      <x:c r="D112" s="64" t="str">
        <x:v>9764</x:v>
      </x:c>
      <x:c r="E112" s="63" t="str">
        <x:v>Coloquio Internacional</x:v>
      </x:c>
      <x:c r="F112" s="63" t="str">
        <x:v>Auditorio O203</x:v>
      </x:c>
      <x:c r="G112" s="63" t="str">
        <x:v>5 sillones / 2 mesas de registro / 2 sillas / 3 mesas para catering / 3 manteles / totem colloquio / 73 sillas </x:v>
      </x:c>
      <x:c r="H112" s="57" t="str">
        <x:v>Alta</x:v>
      </x:c>
      <x:c r="I112" s="63" t="str">
        <x:v>Institucional</x:v>
      </x:c>
      <x:c r="J112" s="65" t="str">
        <x:v>Programado</x:v>
      </x:c>
    </x:row>
    <x:row r="113" ht="51" customHeight="1">
      <x:c r="A113" s="20" t="str">
        <x:v>2026-06-12</x:v>
      </x:c>
      <x:c r="B113" s="62" t="str">
        <x:v>18:30</x:v>
      </x:c>
      <x:c r="C113" s="63" t="str">
        <x:v>AREA VICERRECTORADO</x:v>
      </x:c>
      <x:c r="D113" s="64" t="str">
        <x:v>81767</x:v>
      </x:c>
      <x:c r="E113" s="63" t="str">
        <x:v>Club de Emprendimiento</x:v>
      </x:c>
      <x:c r="F113" s="63" t="str">
        <x:v>Auditorio O203</x:v>
      </x:c>
      <x:c r="G113" s="63" t="str">
        <x:v>1 mesa para coffe / 1 mesa de registro / 1 2 mesas para ponentes / 5 mesas para estuadiantes / 40 sillas / 30 sillas estudiantes / 4 sillas ponentes / 6 sillas para registro y staff</x:v>
      </x:c>
      <x:c r="H113" s="57" t="str">
        <x:v>Alta</x:v>
      </x:c>
      <x:c r="I113" s="63" t="str">
        <x:v>Institucional</x:v>
      </x:c>
      <x:c r="J113" s="65" t="str">
        <x:v>Programado</x:v>
      </x:c>
    </x:row>
    <x:row r="114">
      <x:c r="A114" s="20" t="str">
        <x:v>2026-06-12</x:v>
      </x:c>
      <x:c r="B114" s="62" t="str">
        <x:v>10:00</x:v>
      </x:c>
      <x:c r="C114" s="63" t="str">
        <x:v>FACULTAD  DE INGENERIA </x:v>
      </x:c>
      <x:c r="D114" s="64" t="str">
        <x:v>81751</x:v>
      </x:c>
      <x:c r="E114" s="63" t="str">
        <x:v>Semana de Ingeniería- Almuerzo Internacional</x:v>
      </x:c>
      <x:c r="F114" s="63" t="str">
        <x:v>Terraza comedor / pabellon K</x:v>
      </x:c>
      <x:c r="G114" s="63" t="str">
        <x:v>Mesa para 7 personas / mantel institucional</x:v>
      </x:c>
      <x:c r="H114" s="57" t="str">
        <x:v>Alta</x:v>
      </x:c>
      <x:c r="I114" s="63" t="str">
        <x:v>Institucional</x:v>
      </x:c>
      <x:c r="J114" s="65" t="str">
        <x:v>Programado</x:v>
      </x:c>
    </x:row>
    <x:row r="115">
      <x:c r="A115" s="20" t="str">
        <x:v>2026-06-17</x:v>
      </x:c>
      <x:c r="B115" s="62" t="str">
        <x:v>15:00</x:v>
      </x:c>
      <x:c r="C115" s="63" t="str">
        <x:v>AREA CLINICA DE SIMULACION </x:v>
      </x:c>
      <x:c r="D115" s="64" t="str">
        <x:v>81750</x:v>
      </x:c>
      <x:c r="E115" s="63" t="str">
        <x:v>Charla </x:v>
      </x:c>
      <x:c r="F115" s="63" t="str">
        <x:v>Auditorio  pabellon L</x:v>
      </x:c>
      <x:c r="G115" s="63" t="str">
        <x:v>2 mesas / 2 manteles / 2 sillas para coffe / 1 mesa de vidrio para colocar libros</x:v>
      </x:c>
      <x:c r="H115" s="57" t="str">
        <x:v>Alta</x:v>
      </x:c>
      <x:c r="I115" s="63" t="str">
        <x:v>Institucional</x:v>
      </x:c>
      <x:c r="J115" s="65" t="str">
        <x:v>Programado</x:v>
      </x:c>
    </x:row>
    <x:row r="116" ht="14.25" customHeight="1">
      <x:c r="A116" s="20" t="str">
        <x:v>2026-06-12</x:v>
      </x:c>
      <x:c r="B116" s="62" t="str">
        <x:v>10:00</x:v>
      </x:c>
      <x:c r="C116" s="63" t="str">
        <x:v>FACULTAD  DE INGENERIA </x:v>
      </x:c>
      <x:c r="D116" s="64" t="str">
        <x:v>81729</x:v>
      </x:c>
      <x:c r="E116" s="63" t="str">
        <x:v>Semana de Ingeniería Feria de Proyectos</x:v>
      </x:c>
      <x:c r="F116" s="63" t="str">
        <x:v>Anfiteatro del pabellón I </x:v>
      </x:c>
      <x:c r="G116" s="63" t="str">
        <x:v>5 toldos / 5 mesas / 15 sillas / 5 extensiones / 8 caballetes 6</x:v>
      </x:c>
      <x:c r="H116" s="57" t="str">
        <x:v>Alta</x:v>
      </x:c>
      <x:c r="I116" s="63" t="str">
        <x:v>Institucional</x:v>
      </x:c>
      <x:c r="J116" s="65" t="str">
        <x:v>Programado</x:v>
      </x:c>
    </x:row>
    <x:row r="117" ht="14.25" customHeight="1">
      <x:c r="A117" s="20" t="str">
        <x:v>2026-06-01</x:v>
      </x:c>
      <x:c r="B117" s="62" t="str">
        <x:v>08:00</x:v>
      </x:c>
      <x:c r="C117" s="63" t="str">
        <x:v>VGU</x:v>
      </x:c>
      <x:c r="D117" s="64" t="str">
        <x:v>CORREO</x:v>
      </x:c>
      <x:c r="E117" s="63" t="str">
        <x:v>Talleres Taekwondo</x:v>
      </x:c>
      <x:c r="F117" s="63" t="str">
        <x:v>Lote 28</x:v>
      </x:c>
      <x:c r="G117" s="63" t="str">
        <x:v>Espacio limpio</x:v>
      </x:c>
      <x:c r="H117" s="57" t="str">
        <x:v>Alta</x:v>
      </x:c>
      <x:c r="I117" s="63" t="str">
        <x:v>Institucional</x:v>
      </x:c>
      <x:c r="J117" s="65" t="str">
        <x:v>Programado</x:v>
      </x:c>
    </x:row>
    <x:row r="118" ht="14.25" customHeight="1">
      <x:c r="A118" s="20" t="str">
        <x:v>2026-06-01</x:v>
      </x:c>
      <x:c r="B118" s="62" t="str">
        <x:v>10:00</x:v>
      </x:c>
      <x:c r="C118" s="63" t="str">
        <x:v>VGU</x:v>
      </x:c>
      <x:c r="D118" s="64" t="str">
        <x:v>CORREO</x:v>
      </x:c>
      <x:c r="E118" s="63" t="str">
        <x:v>Selección Wushu Taolu</x:v>
      </x:c>
      <x:c r="F118" s="63" t="str">
        <x:v>Lote 28</x:v>
      </x:c>
      <x:c r="G118" s="63" t="str">
        <x:v>Espacio limpio</x:v>
      </x:c>
      <x:c r="H118" s="57" t="str">
        <x:v>Alta</x:v>
      </x:c>
      <x:c r="I118" s="63" t="str">
        <x:v>Institucional</x:v>
      </x:c>
      <x:c r="J118" s="65" t="str">
        <x:v>Programado</x:v>
      </x:c>
    </x:row>
    <x:row r="119" ht="14.25" customHeight="1">
      <x:c r="A119" s="20" t="str">
        <x:v>2026-06-01</x:v>
      </x:c>
      <x:c r="B119" s="62" t="str">
        <x:v>14:00</x:v>
      </x:c>
      <x:c r="C119" s="63" t="str">
        <x:v>VGU</x:v>
      </x:c>
      <x:c r="D119" s="64" t="str">
        <x:v>CORREO</x:v>
      </x:c>
      <x:c r="E119" s="63" t="str">
        <x:v>Talleres Wushu</x:v>
      </x:c>
      <x:c r="F119" s="63" t="str">
        <x:v>Lote 28</x:v>
      </x:c>
      <x:c r="G119" s="63" t="str">
        <x:v>Espacio limpio</x:v>
      </x:c>
      <x:c r="H119" s="57" t="str">
        <x:v>Alta</x:v>
      </x:c>
      <x:c r="I119" s="63" t="str">
        <x:v>Institucional</x:v>
      </x:c>
      <x:c r="J119" s="65" t="str">
        <x:v>Programado</x:v>
      </x:c>
    </x:row>
    <x:row r="120" ht="14.25" customHeight="1">
      <x:c r="A120" s="20" t="str">
        <x:v>2026-06-01</x:v>
      </x:c>
      <x:c r="B120" s="62" t="str">
        <x:v>17:00</x:v>
      </x:c>
      <x:c r="C120" s="63" t="str">
        <x:v>VGU</x:v>
      </x:c>
      <x:c r="D120" s="64" t="str">
        <x:v>CORREO</x:v>
      </x:c>
      <x:c r="E120" s="63" t="str">
        <x:v>Selección Tenis de Mesa</x:v>
      </x:c>
      <x:c r="F120" s="63" t="str">
        <x:v>Lote 28</x:v>
      </x:c>
      <x:c r="G120" s="63" t="str">
        <x:v>Espacio limpio</x:v>
      </x:c>
      <x:c r="H120" s="57" t="str">
        <x:v>Alta</x:v>
      </x:c>
      <x:c r="I120" s="63" t="str">
        <x:v>Institucional</x:v>
      </x:c>
      <x:c r="J120" s="65" t="str">
        <x:v>Programado</x:v>
      </x:c>
    </x:row>
    <x:row r="121" ht="14.25" customHeight="1">
      <x:c r="A121" s="20" t="str">
        <x:v>2026-06-02</x:v>
      </x:c>
      <x:c r="B121" s="62" t="str">
        <x:v>10:00</x:v>
      </x:c>
      <x:c r="C121" s="63" t="str">
        <x:v>VGU</x:v>
      </x:c>
      <x:c r="D121" s="64" t="str">
        <x:v>CORREO</x:v>
      </x:c>
      <x:c r="E121" s="63" t="str">
        <x:v>Selección Wushu Sanda</x:v>
      </x:c>
      <x:c r="F121" s="63" t="str">
        <x:v>Lote 28</x:v>
      </x:c>
      <x:c r="G121" s="63" t="str">
        <x:v>Espacio limpio</x:v>
      </x:c>
      <x:c r="H121" s="57" t="str">
        <x:v>Alta</x:v>
      </x:c>
      <x:c r="I121" s="63" t="str">
        <x:v>Institucional</x:v>
      </x:c>
      <x:c r="J121" s="65" t="str">
        <x:v>Programado</x:v>
      </x:c>
    </x:row>
    <x:row r="122" ht="14.25" customHeight="1">
      <x:c r="A122" s="20" t="str">
        <x:v>2026-06-03</x:v>
      </x:c>
      <x:c r="B122" s="62" t="str">
        <x:v>10:00</x:v>
      </x:c>
      <x:c r="C122" s="63" t="str">
        <x:v>VGU</x:v>
      </x:c>
      <x:c r="D122" s="64" t="str">
        <x:v>CORREO</x:v>
      </x:c>
      <x:c r="E122" s="63" t="str">
        <x:v>Selección Wushu Taolu</x:v>
      </x:c>
      <x:c r="F122" s="63" t="str">
        <x:v>Lote 28</x:v>
      </x:c>
      <x:c r="G122" s="63" t="str">
        <x:v>Espacio limpio</x:v>
      </x:c>
      <x:c r="H122" s="57" t="str">
        <x:v>Alta</x:v>
      </x:c>
      <x:c r="I122" s="63" t="str">
        <x:v>Institucional</x:v>
      </x:c>
      <x:c r="J122" s="65" t="str">
        <x:v>Programado</x:v>
      </x:c>
    </x:row>
    <x:row r="123" ht="14.25" customHeight="1">
      <x:c r="A123" s="20" t="str">
        <x:v>2026-06-03</x:v>
      </x:c>
      <x:c r="B123" s="62" t="str">
        <x:v>17:00</x:v>
      </x:c>
      <x:c r="C123" s="63" t="str">
        <x:v>VGU</x:v>
      </x:c>
      <x:c r="D123" s="64" t="str">
        <x:v>CORREO</x:v>
      </x:c>
      <x:c r="E123" s="63" t="str">
        <x:v>Selección Tenis de Mesa</x:v>
      </x:c>
      <x:c r="F123" s="63" t="str">
        <x:v>Lote 28</x:v>
      </x:c>
      <x:c r="G123" s="63" t="str">
        <x:v>Espacio limpio</x:v>
      </x:c>
      <x:c r="H123" s="57" t="str">
        <x:v>Alta</x:v>
      </x:c>
      <x:c r="I123" s="63" t="str">
        <x:v>Institucional</x:v>
      </x:c>
      <x:c r="J123" s="65" t="str">
        <x:v>Programado</x:v>
      </x:c>
    </x:row>
    <x:row r="124" ht="14.25" customHeight="1">
      <x:c r="A124" s="20" t="str">
        <x:v>2026-06-04</x:v>
      </x:c>
      <x:c r="B124" s="62" t="str">
        <x:v>10:00</x:v>
      </x:c>
      <x:c r="C124" s="63" t="str">
        <x:v>VGU</x:v>
      </x:c>
      <x:c r="D124" s="64" t="str">
        <x:v>CORREO</x:v>
      </x:c>
      <x:c r="E124" s="63" t="str">
        <x:v>Selección Wushu Sanda</x:v>
      </x:c>
      <x:c r="F124" s="63" t="str">
        <x:v>Lote 28</x:v>
      </x:c>
      <x:c r="G124" s="63" t="str">
        <x:v>Espacio limpio</x:v>
      </x:c>
      <x:c r="H124" s="57" t="str">
        <x:v>Alta</x:v>
      </x:c>
      <x:c r="I124" s="63" t="str">
        <x:v>Institucional</x:v>
      </x:c>
      <x:c r="J124" s="65" t="str">
        <x:v>Programado</x:v>
      </x:c>
    </x:row>
    <x:row r="125" ht="14.25" customHeight="1">
      <x:c r="A125" s="20" t="str">
        <x:v>2026-06-05</x:v>
      </x:c>
      <x:c r="B125" s="62" t="str">
        <x:v>10:00</x:v>
      </x:c>
      <x:c r="C125" s="63" t="str">
        <x:v>VGU</x:v>
      </x:c>
      <x:c r="D125" s="64" t="str">
        <x:v>CORREO</x:v>
      </x:c>
      <x:c r="E125" s="63" t="str">
        <x:v>Selección Wushu Taolu</x:v>
      </x:c>
      <x:c r="F125" s="63" t="str">
        <x:v>Lote 28</x:v>
      </x:c>
      <x:c r="G125" s="63" t="str">
        <x:v>Espacio limpio</x:v>
      </x:c>
      <x:c r="H125" s="57" t="str">
        <x:v>Alta</x:v>
      </x:c>
      <x:c r="I125" s="63" t="str">
        <x:v>Institucional</x:v>
      </x:c>
      <x:c r="J125" s="65" t="str">
        <x:v>Programado</x:v>
      </x:c>
    </x:row>
    <x:row r="126" ht="14.25" customHeight="1">
      <x:c r="A126" s="20" t="str">
        <x:v>2026-06-06</x:v>
      </x:c>
      <x:c r="B126" s="62" t="str">
        <x:v>08:00</x:v>
      </x:c>
      <x:c r="C126" s="63" t="str">
        <x:v>VGU</x:v>
      </x:c>
      <x:c r="D126" s="64" t="str">
        <x:v>CORREO</x:v>
      </x:c>
      <x:c r="E126" s="63" t="str">
        <x:v>Talleres Tenis de Mesa</x:v>
      </x:c>
      <x:c r="F126" s="63" t="str">
        <x:v>Lote 28</x:v>
      </x:c>
      <x:c r="G126" s="63" t="str">
        <x:v>Espacio limpio</x:v>
      </x:c>
      <x:c r="H126" s="57" t="str">
        <x:v>Alta</x:v>
      </x:c>
      <x:c r="I126" s="63" t="str">
        <x:v>Institucional</x:v>
      </x:c>
      <x:c r="J126" s="65" t="str">
        <x:v>Programado</x:v>
      </x:c>
    </x:row>
    <x:row r="127" ht="14.25" customHeight="1">
      <x:c r="A127" s="20" t="str">
        <x:v>2026-06-06</x:v>
      </x:c>
      <x:c r="B127" s="62" t="str">
        <x:v>10:00</x:v>
      </x:c>
      <x:c r="C127" s="63" t="str">
        <x:v>VGU</x:v>
      </x:c>
      <x:c r="D127" s="64" t="str">
        <x:v>CORREO</x:v>
      </x:c>
      <x:c r="E127" s="63" t="str">
        <x:v>Selección Wushu Sanda</x:v>
      </x:c>
      <x:c r="F127" s="63" t="str">
        <x:v>Lote 28</x:v>
      </x:c>
      <x:c r="G127" s="63" t="str">
        <x:v>Espacio limpio</x:v>
      </x:c>
      <x:c r="H127" s="57" t="str">
        <x:v>Alta</x:v>
      </x:c>
      <x:c r="I127" s="63" t="str">
        <x:v>Institucional</x:v>
      </x:c>
      <x:c r="J127" s="65" t="str">
        <x:v>Programado</x:v>
      </x:c>
    </x:row>
    <x:row r="128" ht="14.25" customHeight="1">
      <x:c r="A128" s="20" t="str">
        <x:v>2026-06-06</x:v>
      </x:c>
      <x:c r="B128" s="62" t="str">
        <x:v>13:00</x:v>
      </x:c>
      <x:c r="C128" s="63" t="str">
        <x:v>VGU</x:v>
      </x:c>
      <x:c r="D128" s="64" t="str">
        <x:v>CORREO</x:v>
      </x:c>
      <x:c r="E128" s="63" t="str">
        <x:v>Talleres Karate</x:v>
      </x:c>
      <x:c r="F128" s="63" t="str">
        <x:v>Lote 28</x:v>
      </x:c>
      <x:c r="G128" s="63" t="str">
        <x:v>Espacio limpio</x:v>
      </x:c>
      <x:c r="H128" s="57" t="str">
        <x:v>Alta</x:v>
      </x:c>
      <x:c r="I128" s="63" t="str">
        <x:v>Institucional</x:v>
      </x:c>
      <x:c r="J128" s="65" t="str">
        <x:v>Programado</x:v>
      </x:c>
    </x:row>
    <x:row r="129" ht="14.25" customHeight="1">
      <x:c r="A129" s="20" t="str">
        <x:v>2026-06-06</x:v>
      </x:c>
      <x:c r="B129" s="62" t="str">
        <x:v>15:00</x:v>
      </x:c>
      <x:c r="C129" s="63" t="str">
        <x:v>VGU</x:v>
      </x:c>
      <x:c r="D129" s="64" t="str">
        <x:v>CORREO</x:v>
      </x:c>
      <x:c r="E129" s="63" t="str">
        <x:v>Talleres Lucha Olímpica</x:v>
      </x:c>
      <x:c r="F129" s="63" t="str">
        <x:v>Lote 28</x:v>
      </x:c>
      <x:c r="G129" s="63" t="str">
        <x:v>Espacio limpio</x:v>
      </x:c>
      <x:c r="H129" s="57" t="str">
        <x:v>Alta</x:v>
      </x:c>
      <x:c r="I129" s="63" t="str">
        <x:v>Institucional</x:v>
      </x:c>
      <x:c r="J129" s="65" t="str">
        <x:v>Programado</x:v>
      </x:c>
    </x:row>
    <x:row r="130" ht="14.25" customHeight="1">
      <x:c r="A130" s="20" t="str">
        <x:v>2026-06-08</x:v>
      </x:c>
      <x:c r="B130" s="62" t="str">
        <x:v>08:00</x:v>
      </x:c>
      <x:c r="C130" s="63" t="str">
        <x:v>VGU</x:v>
      </x:c>
      <x:c r="D130" s="64" t="str">
        <x:v>CORREO</x:v>
      </x:c>
      <x:c r="E130" s="63" t="str">
        <x:v>Talleres Taekwondo</x:v>
      </x:c>
      <x:c r="F130" s="63" t="str">
        <x:v>Lote 28</x:v>
      </x:c>
      <x:c r="G130" s="63" t="str">
        <x:v>Espacio limpio</x:v>
      </x:c>
      <x:c r="H130" s="57" t="str">
        <x:v>Alta</x:v>
      </x:c>
      <x:c r="I130" s="63" t="str">
        <x:v>Institucional</x:v>
      </x:c>
      <x:c r="J130" s="65" t="str">
        <x:v>Programado</x:v>
      </x:c>
    </x:row>
    <x:row r="131">
      <x:c r="A131" s="20" t="str">
        <x:v>2026-06-08</x:v>
      </x:c>
      <x:c r="B131" s="62" t="str">
        <x:v>10:00</x:v>
      </x:c>
      <x:c r="C131" s="63" t="str">
        <x:v>VGU</x:v>
      </x:c>
      <x:c r="D131" s="64" t="str">
        <x:v>CORREO</x:v>
      </x:c>
      <x:c r="E131" s="63" t="str">
        <x:v>Selección Wushu Taolu</x:v>
      </x:c>
      <x:c r="F131" s="63" t="str">
        <x:v>Lote 28</x:v>
      </x:c>
      <x:c r="G131" s="63" t="str">
        <x:v>Espacio limpio</x:v>
      </x:c>
      <x:c r="H131" s="57" t="str">
        <x:v>Alta</x:v>
      </x:c>
      <x:c r="I131" s="63" t="str">
        <x:v>Institucional</x:v>
      </x:c>
      <x:c r="J131" s="65" t="str">
        <x:v>Programado</x:v>
      </x:c>
    </x:row>
    <x:row r="132">
      <x:c r="A132" s="20" t="str">
        <x:v>2026-06-08</x:v>
      </x:c>
      <x:c r="B132" s="62" t="str">
        <x:v>14:00</x:v>
      </x:c>
      <x:c r="C132" s="63" t="str">
        <x:v>VGU</x:v>
      </x:c>
      <x:c r="D132" s="64" t="str">
        <x:v>CORREO</x:v>
      </x:c>
      <x:c r="E132" s="63" t="str">
        <x:v>Talleres Wushu</x:v>
      </x:c>
      <x:c r="F132" s="63" t="str">
        <x:v>Lote 28</x:v>
      </x:c>
      <x:c r="G132" s="63" t="str">
        <x:v>Espacio limpio</x:v>
      </x:c>
      <x:c r="H132" s="57" t="str">
        <x:v>Alta</x:v>
      </x:c>
      <x:c r="I132" s="63" t="str">
        <x:v>Institucional</x:v>
      </x:c>
      <x:c r="J132" s="65" t="str">
        <x:v>Programado</x:v>
      </x:c>
    </x:row>
    <x:row r="133">
      <x:c r="A133" s="20" t="str">
        <x:v>2026-06-08</x:v>
      </x:c>
      <x:c r="B133" s="62" t="str">
        <x:v>17:00</x:v>
      </x:c>
      <x:c r="C133" s="63" t="str">
        <x:v>VGU</x:v>
      </x:c>
      <x:c r="D133" s="64" t="str">
        <x:v>CORREO</x:v>
      </x:c>
      <x:c r="E133" s="63" t="str">
        <x:v>Selección Tenis de Mesa</x:v>
      </x:c>
      <x:c r="F133" s="63" t="str">
        <x:v>Lote 28</x:v>
      </x:c>
      <x:c r="G133" s="63" t="str">
        <x:v>Espacio limpio</x:v>
      </x:c>
      <x:c r="H133" s="57" t="str">
        <x:v>Alta</x:v>
      </x:c>
      <x:c r="I133" s="63" t="str">
        <x:v>Institucional</x:v>
      </x:c>
      <x:c r="J133" s="65" t="str">
        <x:v>Programado</x:v>
      </x:c>
    </x:row>
    <x:row r="134">
      <x:c r="A134" s="20" t="str">
        <x:v>2026-06-09</x:v>
      </x:c>
      <x:c r="B134" s="62" t="str">
        <x:v>10:00</x:v>
      </x:c>
      <x:c r="C134" s="63" t="str">
        <x:v>VGU</x:v>
      </x:c>
      <x:c r="D134" s="64" t="str">
        <x:v>CORREO</x:v>
      </x:c>
      <x:c r="E134" s="63" t="str">
        <x:v>Selección Wushu Sanda</x:v>
      </x:c>
      <x:c r="F134" s="63" t="str">
        <x:v>Lote 28</x:v>
      </x:c>
      <x:c r="G134" s="63" t="str">
        <x:v>Espacio limpio</x:v>
      </x:c>
      <x:c r="H134" s="57" t="str">
        <x:v>Alta</x:v>
      </x:c>
      <x:c r="I134" s="63" t="str">
        <x:v>Institucional</x:v>
      </x:c>
      <x:c r="J134" s="65" t="str">
        <x:v>Programado</x:v>
      </x:c>
    </x:row>
    <x:row r="135">
      <x:c r="A135" s="20" t="str">
        <x:v>2026-06-10</x:v>
      </x:c>
      <x:c r="B135" s="62" t="str">
        <x:v>10:00</x:v>
      </x:c>
      <x:c r="C135" s="63" t="str">
        <x:v>VGU</x:v>
      </x:c>
      <x:c r="D135" s="64" t="str">
        <x:v>CORREO</x:v>
      </x:c>
      <x:c r="E135" s="63" t="str">
        <x:v>Selección Wushu Taolu</x:v>
      </x:c>
      <x:c r="F135" s="63" t="str">
        <x:v>Lote 28</x:v>
      </x:c>
      <x:c r="G135" s="63" t="str">
        <x:v>Espacio limpio</x:v>
      </x:c>
      <x:c r="H135" s="57" t="str">
        <x:v>Alta</x:v>
      </x:c>
      <x:c r="I135" s="63" t="str">
        <x:v>Institucional</x:v>
      </x:c>
      <x:c r="J135" s="65" t="str">
        <x:v>Programado</x:v>
      </x:c>
    </x:row>
    <x:row r="136">
      <x:c r="A136" s="20" t="str">
        <x:v>2026-06-10</x:v>
      </x:c>
      <x:c r="B136" s="62" t="str">
        <x:v>17:00</x:v>
      </x:c>
      <x:c r="C136" s="63" t="str">
        <x:v>VGU</x:v>
      </x:c>
      <x:c r="D136" s="64" t="str">
        <x:v>CORREO</x:v>
      </x:c>
      <x:c r="E136" s="63" t="str">
        <x:v>Selección Tenis de Mesa</x:v>
      </x:c>
      <x:c r="F136" s="63" t="str">
        <x:v>Lote 28</x:v>
      </x:c>
      <x:c r="G136" s="63" t="str">
        <x:v>Espacio limpio</x:v>
      </x:c>
      <x:c r="H136" s="57" t="str">
        <x:v>Alta</x:v>
      </x:c>
      <x:c r="I136" s="63" t="str">
        <x:v>Institucional</x:v>
      </x:c>
      <x:c r="J136" s="65" t="str">
        <x:v>Programado</x:v>
      </x:c>
    </x:row>
    <x:row r="137">
      <x:c r="A137" s="20" t="str">
        <x:v>2026-06-11</x:v>
      </x:c>
      <x:c r="B137" s="62" t="str">
        <x:v>10:00</x:v>
      </x:c>
      <x:c r="C137" s="63" t="str">
        <x:v>VGU</x:v>
      </x:c>
      <x:c r="D137" s="64" t="str">
        <x:v>CORREO</x:v>
      </x:c>
      <x:c r="E137" s="63" t="str">
        <x:v>Selección Wushu Sanda</x:v>
      </x:c>
      <x:c r="F137" s="63" t="str">
        <x:v>Lote 28</x:v>
      </x:c>
      <x:c r="G137" s="63" t="str">
        <x:v>Espacio limpio</x:v>
      </x:c>
      <x:c r="H137" s="57" t="str">
        <x:v>Alta</x:v>
      </x:c>
      <x:c r="I137" s="63" t="str">
        <x:v>Institucional</x:v>
      </x:c>
      <x:c r="J137" s="65" t="str">
        <x:v>Programado</x:v>
      </x:c>
    </x:row>
    <x:row r="138">
      <x:c r="A138" s="20" t="str">
        <x:v>2026-06-12</x:v>
      </x:c>
      <x:c r="B138" s="62" t="str">
        <x:v>10:00</x:v>
      </x:c>
      <x:c r="C138" s="63" t="str">
        <x:v>VGU</x:v>
      </x:c>
      <x:c r="D138" s="64" t="str">
        <x:v>CORREO</x:v>
      </x:c>
      <x:c r="E138" s="63" t="str">
        <x:v>Selección Wushu Taolu</x:v>
      </x:c>
      <x:c r="F138" s="63" t="str">
        <x:v>Lote 28</x:v>
      </x:c>
      <x:c r="G138" s="63" t="str">
        <x:v>Espacio limpio</x:v>
      </x:c>
      <x:c r="H138" s="57" t="str">
        <x:v>Alta</x:v>
      </x:c>
      <x:c r="I138" s="63" t="str">
        <x:v>Institucional</x:v>
      </x:c>
      <x:c r="J138" s="65" t="str">
        <x:v>Programado</x:v>
      </x:c>
    </x:row>
    <x:row r="139">
      <x:c r="A139" s="20" t="str">
        <x:v>2026-06-13</x:v>
      </x:c>
      <x:c r="B139" s="62" t="str">
        <x:v>08:00</x:v>
      </x:c>
      <x:c r="C139" s="63" t="str">
        <x:v>VGU</x:v>
      </x:c>
      <x:c r="D139" s="64" t="str">
        <x:v>CORREO</x:v>
      </x:c>
      <x:c r="E139" s="63" t="str">
        <x:v>Talleres Tenis de Mesa</x:v>
      </x:c>
      <x:c r="F139" s="63" t="str">
        <x:v>Lote 28</x:v>
      </x:c>
      <x:c r="G139" s="63" t="str">
        <x:v>Espacio limpio</x:v>
      </x:c>
      <x:c r="H139" s="57" t="str">
        <x:v>Alta</x:v>
      </x:c>
      <x:c r="I139" s="63" t="str">
        <x:v>Institucional</x:v>
      </x:c>
      <x:c r="J139" s="65" t="str">
        <x:v>Programado</x:v>
      </x:c>
    </x:row>
    <x:row r="140">
      <x:c r="A140" s="20" t="str">
        <x:v>2026-06-13</x:v>
      </x:c>
      <x:c r="B140" s="62" t="str">
        <x:v>10:00</x:v>
      </x:c>
      <x:c r="C140" s="63" t="str">
        <x:v>VGU</x:v>
      </x:c>
      <x:c r="D140" s="64" t="str">
        <x:v>CORREO</x:v>
      </x:c>
      <x:c r="E140" s="63" t="str">
        <x:v>Selección Wushu Sanda</x:v>
      </x:c>
      <x:c r="F140" s="63" t="str">
        <x:v>Lote 28</x:v>
      </x:c>
      <x:c r="G140" s="63" t="str">
        <x:v>Espacio limpio</x:v>
      </x:c>
      <x:c r="H140" s="57" t="str">
        <x:v>Alta</x:v>
      </x:c>
      <x:c r="I140" s="63" t="str">
        <x:v>Institucional</x:v>
      </x:c>
      <x:c r="J140" s="65" t="str">
        <x:v>Programado</x:v>
      </x:c>
    </x:row>
    <x:row r="141">
      <x:c r="A141" s="20" t="str">
        <x:v>2026-06-13</x:v>
      </x:c>
      <x:c r="B141" s="62" t="str">
        <x:v>13:00</x:v>
      </x:c>
      <x:c r="C141" s="63" t="str">
        <x:v>VGU</x:v>
      </x:c>
      <x:c r="D141" s="64" t="str">
        <x:v>CORREO</x:v>
      </x:c>
      <x:c r="E141" s="63" t="str">
        <x:v>Talleres Karate</x:v>
      </x:c>
      <x:c r="F141" s="63" t="str">
        <x:v>Lote 28</x:v>
      </x:c>
      <x:c r="G141" s="63" t="str">
        <x:v>Espacio limpio</x:v>
      </x:c>
      <x:c r="H141" s="57" t="str">
        <x:v>Alta</x:v>
      </x:c>
      <x:c r="I141" s="63" t="str">
        <x:v>Institucional</x:v>
      </x:c>
      <x:c r="J141" s="65" t="str">
        <x:v>Programado</x:v>
      </x:c>
    </x:row>
    <x:row r="142">
      <x:c r="A142" s="20" t="str">
        <x:v>2026-06-13</x:v>
      </x:c>
      <x:c r="B142" s="62" t="str">
        <x:v>15:00</x:v>
      </x:c>
      <x:c r="C142" s="63" t="str">
        <x:v>VGU</x:v>
      </x:c>
      <x:c r="D142" s="64" t="str">
        <x:v>CORREO</x:v>
      </x:c>
      <x:c r="E142" s="63" t="str">
        <x:v>Talleres Lucha Olímpica</x:v>
      </x:c>
      <x:c r="F142" s="63" t="str">
        <x:v>Lote 28</x:v>
      </x:c>
      <x:c r="G142" s="63" t="str">
        <x:v>Espacio limpio</x:v>
      </x:c>
      <x:c r="H142" s="57" t="str">
        <x:v>Alta</x:v>
      </x:c>
      <x:c r="I142" s="63" t="str">
        <x:v>Institucional</x:v>
      </x:c>
      <x:c r="J142" s="65" t="str">
        <x:v>Programado</x:v>
      </x:c>
    </x:row>
    <x:row r="143">
      <x:c r="A143" s="20" t="str">
        <x:v>2026-06-15</x:v>
      </x:c>
      <x:c r="B143" s="62" t="str">
        <x:v>08:00</x:v>
      </x:c>
      <x:c r="C143" s="63" t="str">
        <x:v>VGU</x:v>
      </x:c>
      <x:c r="D143" s="64" t="str">
        <x:v>CORREO</x:v>
      </x:c>
      <x:c r="E143" s="63" t="str">
        <x:v>Talleres Taekwondo</x:v>
      </x:c>
      <x:c r="F143" s="63" t="str">
        <x:v>Lote 28</x:v>
      </x:c>
      <x:c r="G143" s="63" t="str">
        <x:v>Espacio limpio</x:v>
      </x:c>
      <x:c r="H143" s="57" t="str">
        <x:v>Alta</x:v>
      </x:c>
      <x:c r="I143" s="63" t="str">
        <x:v>Institucional</x:v>
      </x:c>
      <x:c r="J143" s="65" t="str">
        <x:v>Programado</x:v>
      </x:c>
    </x:row>
    <x:row r="144">
      <x:c r="A144" s="20" t="str">
        <x:v>2026-06-15</x:v>
      </x:c>
      <x:c r="B144" s="62" t="str">
        <x:v>10:00</x:v>
      </x:c>
      <x:c r="C144" s="63" t="str">
        <x:v>VGU</x:v>
      </x:c>
      <x:c r="D144" s="64" t="str">
        <x:v>CORREO</x:v>
      </x:c>
      <x:c r="E144" s="63" t="str">
        <x:v>Selección Wushu Taolu</x:v>
      </x:c>
      <x:c r="F144" s="63" t="str">
        <x:v>Lote 28</x:v>
      </x:c>
      <x:c r="G144" s="63" t="str">
        <x:v>Espacio limpio</x:v>
      </x:c>
      <x:c r="H144" s="57" t="str">
        <x:v>Alta</x:v>
      </x:c>
      <x:c r="I144" s="63" t="str">
        <x:v>Institucional</x:v>
      </x:c>
      <x:c r="J144" s="65" t="str">
        <x:v>Programado</x:v>
      </x:c>
    </x:row>
    <x:row r="145">
      <x:c r="A145" s="20" t="str">
        <x:v>2026-06-15</x:v>
      </x:c>
      <x:c r="B145" s="62" t="str">
        <x:v>14:00</x:v>
      </x:c>
      <x:c r="C145" s="63" t="str">
        <x:v>VGU</x:v>
      </x:c>
      <x:c r="D145" s="64" t="str">
        <x:v>CORREO</x:v>
      </x:c>
      <x:c r="E145" s="63" t="str">
        <x:v>Talleres Wushu</x:v>
      </x:c>
      <x:c r="F145" s="63" t="str">
        <x:v>Lote 28</x:v>
      </x:c>
      <x:c r="G145" s="63" t="str">
        <x:v>Espacio limpio</x:v>
      </x:c>
      <x:c r="H145" s="57" t="str">
        <x:v>Alta</x:v>
      </x:c>
      <x:c r="I145" s="63" t="str">
        <x:v>Institucional</x:v>
      </x:c>
      <x:c r="J145" s="65" t="str">
        <x:v>Programado</x:v>
      </x:c>
    </x:row>
    <x:row r="146">
      <x:c r="A146" s="20" t="str">
        <x:v>2026-06-15</x:v>
      </x:c>
      <x:c r="B146" s="62" t="str">
        <x:v>17:00</x:v>
      </x:c>
      <x:c r="C146" s="63" t="str">
        <x:v>VGU</x:v>
      </x:c>
      <x:c r="D146" s="64" t="str">
        <x:v>CORREO</x:v>
      </x:c>
      <x:c r="E146" s="63" t="str">
        <x:v>Selección Tenis de Mesa</x:v>
      </x:c>
      <x:c r="F146" s="63" t="str">
        <x:v>Lote 28</x:v>
      </x:c>
      <x:c r="G146" s="63" t="str">
        <x:v>Espacio limpio</x:v>
      </x:c>
      <x:c r="H146" s="57" t="str">
        <x:v>Alta</x:v>
      </x:c>
      <x:c r="I146" s="63" t="str">
        <x:v>Institucional</x:v>
      </x:c>
      <x:c r="J146" s="65" t="str">
        <x:v>Programado</x:v>
      </x:c>
    </x:row>
    <x:row r="147">
      <x:c r="A147" s="20" t="str">
        <x:v>2026-06-16</x:v>
      </x:c>
      <x:c r="B147" s="62" t="str">
        <x:v>10:00</x:v>
      </x:c>
      <x:c r="C147" s="63" t="str">
        <x:v>VGU</x:v>
      </x:c>
      <x:c r="D147" s="64" t="str">
        <x:v>CORREO</x:v>
      </x:c>
      <x:c r="E147" s="63" t="str">
        <x:v>Selección Wushu Sanda</x:v>
      </x:c>
      <x:c r="F147" s="63" t="str">
        <x:v>Lote 28</x:v>
      </x:c>
      <x:c r="G147" s="63" t="str">
        <x:v>Espacio limpio</x:v>
      </x:c>
      <x:c r="H147" s="57" t="str">
        <x:v>Alta</x:v>
      </x:c>
      <x:c r="I147" s="63" t="str">
        <x:v>Institucional</x:v>
      </x:c>
      <x:c r="J147" s="65" t="str">
        <x:v>Programado</x:v>
      </x:c>
    </x:row>
    <x:row r="148">
      <x:c r="A148" s="20" t="str">
        <x:v>2026-06-17</x:v>
      </x:c>
      <x:c r="B148" s="62" t="str">
        <x:v>10:00</x:v>
      </x:c>
      <x:c r="C148" s="63" t="str">
        <x:v>VGU</x:v>
      </x:c>
      <x:c r="D148" s="64" t="str">
        <x:v>CORREO</x:v>
      </x:c>
      <x:c r="E148" s="63" t="str">
        <x:v>Selección Wushu Taolu</x:v>
      </x:c>
      <x:c r="F148" s="63" t="str">
        <x:v>Lote 28</x:v>
      </x:c>
      <x:c r="G148" s="63" t="str">
        <x:v>Espacio limpio</x:v>
      </x:c>
      <x:c r="H148" s="57" t="str">
        <x:v>Alta</x:v>
      </x:c>
      <x:c r="I148" s="63" t="str">
        <x:v>Institucional</x:v>
      </x:c>
      <x:c r="J148" s="65" t="str">
        <x:v>Programado</x:v>
      </x:c>
    </x:row>
    <x:row r="149">
      <x:c r="A149" s="20" t="str">
        <x:v>2026-06-17</x:v>
      </x:c>
      <x:c r="B149" s="62" t="str">
        <x:v>17:00</x:v>
      </x:c>
      <x:c r="C149" s="63" t="str">
        <x:v>VGU</x:v>
      </x:c>
      <x:c r="D149" s="64" t="str">
        <x:v>CORREO</x:v>
      </x:c>
      <x:c r="E149" s="63" t="str">
        <x:v>Selección Tenis de Mesa</x:v>
      </x:c>
      <x:c r="F149" s="63" t="str">
        <x:v>Lote 28</x:v>
      </x:c>
      <x:c r="G149" s="63" t="str">
        <x:v>Espacio limpio</x:v>
      </x:c>
      <x:c r="H149" s="57" t="str">
        <x:v>Alta</x:v>
      </x:c>
      <x:c r="I149" s="63" t="str">
        <x:v>Institucional</x:v>
      </x:c>
      <x:c r="J149" s="65" t="str">
        <x:v>Programado</x:v>
      </x:c>
    </x:row>
    <x:row r="150">
      <x:c r="A150" s="20" t="str">
        <x:v>2026-06-18</x:v>
      </x:c>
      <x:c r="B150" s="62" t="str">
        <x:v>10:00</x:v>
      </x:c>
      <x:c r="C150" s="63" t="str">
        <x:v>VGU</x:v>
      </x:c>
      <x:c r="D150" s="64" t="str">
        <x:v>CORREO</x:v>
      </x:c>
      <x:c r="E150" s="63" t="str">
        <x:v>Selección Wushu Sanda</x:v>
      </x:c>
      <x:c r="F150" s="63" t="str">
        <x:v>Lote 28</x:v>
      </x:c>
      <x:c r="G150" s="63" t="str">
        <x:v>Espacio limpio</x:v>
      </x:c>
      <x:c r="H150" s="57" t="str">
        <x:v>Alta</x:v>
      </x:c>
      <x:c r="I150" s="63" t="str">
        <x:v>Institucional</x:v>
      </x:c>
      <x:c r="J150" s="65" t="str">
        <x:v>Programado</x:v>
      </x:c>
    </x:row>
    <x:row r="151">
      <x:c r="A151" s="20" t="str">
        <x:v>2026-06-19</x:v>
      </x:c>
      <x:c r="B151" s="62" t="str">
        <x:v>10:00</x:v>
      </x:c>
      <x:c r="C151" s="63" t="str">
        <x:v>VGU</x:v>
      </x:c>
      <x:c r="D151" s="64" t="str">
        <x:v>CORREO</x:v>
      </x:c>
      <x:c r="E151" s="63" t="str">
        <x:v>Selección Wushu Taolu</x:v>
      </x:c>
      <x:c r="F151" s="63" t="str">
        <x:v>Lote 28</x:v>
      </x:c>
      <x:c r="G151" s="63" t="str">
        <x:v>Espacio limpio</x:v>
      </x:c>
      <x:c r="H151" s="57" t="str">
        <x:v>Alta</x:v>
      </x:c>
      <x:c r="I151" s="63" t="str">
        <x:v>Institucional</x:v>
      </x:c>
      <x:c r="J151" s="65" t="str">
        <x:v>Programado</x:v>
      </x:c>
    </x:row>
    <x:row r="152">
      <x:c r="A152" s="20" t="str">
        <x:v>2026-06-20</x:v>
      </x:c>
      <x:c r="B152" s="62" t="str">
        <x:v>08:00</x:v>
      </x:c>
      <x:c r="C152" s="63" t="str">
        <x:v>VGU</x:v>
      </x:c>
      <x:c r="D152" s="64" t="str">
        <x:v>CORREO</x:v>
      </x:c>
      <x:c r="E152" s="63" t="str">
        <x:v>Talleres Tenis de Mesa</x:v>
      </x:c>
      <x:c r="F152" s="63" t="str">
        <x:v>Lote 28</x:v>
      </x:c>
      <x:c r="G152" s="63" t="str">
        <x:v>Espacio limpio</x:v>
      </x:c>
      <x:c r="H152" s="57" t="str">
        <x:v>Alta</x:v>
      </x:c>
      <x:c r="I152" s="63" t="str">
        <x:v>Institucional</x:v>
      </x:c>
      <x:c r="J152" s="65" t="str">
        <x:v>Programado</x:v>
      </x:c>
    </x:row>
    <x:row r="153">
      <x:c r="A153" s="20" t="str">
        <x:v>2026-06-20</x:v>
      </x:c>
      <x:c r="B153" s="62" t="str">
        <x:v>10:00</x:v>
      </x:c>
      <x:c r="C153" s="63" t="str">
        <x:v>VGU</x:v>
      </x:c>
      <x:c r="D153" s="64" t="str">
        <x:v>CORREO</x:v>
      </x:c>
      <x:c r="E153" s="63" t="str">
        <x:v>Selección Wushu Sanda</x:v>
      </x:c>
      <x:c r="F153" s="63" t="str">
        <x:v>Lote 28</x:v>
      </x:c>
      <x:c r="G153" s="63" t="str">
        <x:v>Espacio limpio</x:v>
      </x:c>
      <x:c r="H153" s="57" t="str">
        <x:v>Alta</x:v>
      </x:c>
      <x:c r="I153" s="63" t="str">
        <x:v>Institucional</x:v>
      </x:c>
      <x:c r="J153" s="65" t="str">
        <x:v>Programado</x:v>
      </x:c>
    </x:row>
    <x:row r="154">
      <x:c r="A154" s="20" t="str">
        <x:v>2026-06-20</x:v>
      </x:c>
      <x:c r="B154" s="62" t="str">
        <x:v>13:00</x:v>
      </x:c>
      <x:c r="C154" s="63" t="str">
        <x:v>VGU</x:v>
      </x:c>
      <x:c r="D154" s="64" t="str">
        <x:v>CORREO</x:v>
      </x:c>
      <x:c r="E154" s="63" t="str">
        <x:v>Talleres Karate</x:v>
      </x:c>
      <x:c r="F154" s="63" t="str">
        <x:v>Lote 28</x:v>
      </x:c>
      <x:c r="G154" s="63" t="str">
        <x:v>Espacio limpio</x:v>
      </x:c>
      <x:c r="H154" s="57" t="str">
        <x:v>Alta</x:v>
      </x:c>
      <x:c r="I154" s="63" t="str">
        <x:v>Institucional</x:v>
      </x:c>
      <x:c r="J154" s="65" t="str">
        <x:v>Programado</x:v>
      </x:c>
    </x:row>
    <x:row r="155">
      <x:c r="A155" s="20" t="str">
        <x:v>2026-06-20</x:v>
      </x:c>
      <x:c r="B155" s="62" t="str">
        <x:v>15:00</x:v>
      </x:c>
      <x:c r="C155" s="63" t="str">
        <x:v>VGU</x:v>
      </x:c>
      <x:c r="D155" s="64" t="str">
        <x:v>CORREO</x:v>
      </x:c>
      <x:c r="E155" s="63" t="str">
        <x:v>Talleres Lucha Olímpica</x:v>
      </x:c>
      <x:c r="F155" s="63" t="str">
        <x:v>Lote 28</x:v>
      </x:c>
      <x:c r="G155" s="63" t="str">
        <x:v>Espacio limpio</x:v>
      </x:c>
      <x:c r="H155" s="57" t="str">
        <x:v>Alta</x:v>
      </x:c>
      <x:c r="I155" s="63" t="str">
        <x:v>Institucional</x:v>
      </x:c>
      <x:c r="J155" s="65" t="str">
        <x:v>Programado</x:v>
      </x:c>
    </x:row>
    <x:row r="156">
      <x:c r="A156" s="20" t="str">
        <x:v>2026-06-22</x:v>
      </x:c>
      <x:c r="B156" s="62" t="str">
        <x:v>08:00</x:v>
      </x:c>
      <x:c r="C156" s="63" t="str">
        <x:v>VGU</x:v>
      </x:c>
      <x:c r="D156" s="64" t="str">
        <x:v>CORREO</x:v>
      </x:c>
      <x:c r="E156" s="63" t="str">
        <x:v>Talleres Taekwondo</x:v>
      </x:c>
      <x:c r="F156" s="63" t="str">
        <x:v>Lote 28</x:v>
      </x:c>
      <x:c r="G156" s="63" t="str">
        <x:v>Espacio limpio</x:v>
      </x:c>
      <x:c r="H156" s="57" t="str">
        <x:v>Alta</x:v>
      </x:c>
      <x:c r="I156" s="63" t="str">
        <x:v>Institucional</x:v>
      </x:c>
      <x:c r="J156" s="65" t="str">
        <x:v>Programado</x:v>
      </x:c>
    </x:row>
    <x:row r="157">
      <x:c r="A157" s="20" t="str">
        <x:v>2026-06-22</x:v>
      </x:c>
      <x:c r="B157" s="62" t="str">
        <x:v>10:00</x:v>
      </x:c>
      <x:c r="C157" s="63" t="str">
        <x:v>VGU</x:v>
      </x:c>
      <x:c r="D157" s="64" t="str">
        <x:v>CORREO</x:v>
      </x:c>
      <x:c r="E157" s="63" t="str">
        <x:v>Selección Wushu Taolu</x:v>
      </x:c>
      <x:c r="F157" s="63" t="str">
        <x:v>Lote 28</x:v>
      </x:c>
      <x:c r="G157" s="63" t="str">
        <x:v>Espacio limpio</x:v>
      </x:c>
      <x:c r="H157" s="57" t="str">
        <x:v>Alta</x:v>
      </x:c>
      <x:c r="I157" s="63" t="str">
        <x:v>Institucional</x:v>
      </x:c>
      <x:c r="J157" s="65" t="str">
        <x:v>Programado</x:v>
      </x:c>
    </x:row>
    <x:row r="158">
      <x:c r="A158" s="20" t="str">
        <x:v>2026-06-22</x:v>
      </x:c>
      <x:c r="B158" s="62" t="str">
        <x:v>14:00</x:v>
      </x:c>
      <x:c r="C158" s="63" t="str">
        <x:v>VGU</x:v>
      </x:c>
      <x:c r="D158" s="64" t="str">
        <x:v>CORREO</x:v>
      </x:c>
      <x:c r="E158" s="63" t="str">
        <x:v>Talleres Wushu</x:v>
      </x:c>
      <x:c r="F158" s="63" t="str">
        <x:v>Lote 28</x:v>
      </x:c>
      <x:c r="G158" s="63" t="str">
        <x:v>Espacio limpio</x:v>
      </x:c>
      <x:c r="H158" s="57" t="str">
        <x:v>Alta</x:v>
      </x:c>
      <x:c r="I158" s="63" t="str">
        <x:v>Institucional</x:v>
      </x:c>
      <x:c r="J158" s="65" t="str">
        <x:v>Programado</x:v>
      </x:c>
    </x:row>
    <x:row r="159">
      <x:c r="A159" s="20" t="str">
        <x:v>2026-06-22</x:v>
      </x:c>
      <x:c r="B159" s="62" t="str">
        <x:v>17:00</x:v>
      </x:c>
      <x:c r="C159" s="63" t="str">
        <x:v>VGU</x:v>
      </x:c>
      <x:c r="D159" s="64" t="str">
        <x:v>CORREO</x:v>
      </x:c>
      <x:c r="E159" s="63" t="str">
        <x:v>Selección Tenis de Mesa</x:v>
      </x:c>
      <x:c r="F159" s="63" t="str">
        <x:v>Lote 28</x:v>
      </x:c>
      <x:c r="G159" s="63" t="str">
        <x:v>Espacio limpio</x:v>
      </x:c>
      <x:c r="H159" s="57" t="str">
        <x:v>Alta</x:v>
      </x:c>
      <x:c r="I159" s="63" t="str">
        <x:v>Institucional</x:v>
      </x:c>
      <x:c r="J159" s="65" t="str">
        <x:v>Programado</x:v>
      </x:c>
    </x:row>
    <x:row r="160">
      <x:c r="A160" s="20" t="str">
        <x:v>2026-06-23</x:v>
      </x:c>
      <x:c r="B160" s="62" t="str">
        <x:v>10:00</x:v>
      </x:c>
      <x:c r="C160" s="63" t="str">
        <x:v>VGU</x:v>
      </x:c>
      <x:c r="D160" s="64" t="str">
        <x:v>CORREO</x:v>
      </x:c>
      <x:c r="E160" s="63" t="str">
        <x:v>Selección Wushu Sanda</x:v>
      </x:c>
      <x:c r="F160" s="63" t="str">
        <x:v>Lote 28</x:v>
      </x:c>
      <x:c r="G160" s="63" t="str">
        <x:v>Espacio limpio</x:v>
      </x:c>
      <x:c r="H160" s="57" t="str">
        <x:v>Alta</x:v>
      </x:c>
      <x:c r="I160" s="63" t="str">
        <x:v>Institucional</x:v>
      </x:c>
      <x:c r="J160" s="65" t="str">
        <x:v>Programado</x:v>
      </x:c>
    </x:row>
    <x:row r="161">
      <x:c r="A161" s="20" t="str">
        <x:v>2026-06-24</x:v>
      </x:c>
      <x:c r="B161" s="62" t="str">
        <x:v>10:00</x:v>
      </x:c>
      <x:c r="C161" s="63" t="str">
        <x:v>VGU</x:v>
      </x:c>
      <x:c r="D161" s="64" t="str">
        <x:v>CORREO</x:v>
      </x:c>
      <x:c r="E161" s="63" t="str">
        <x:v>Selección Wushu Taolu</x:v>
      </x:c>
      <x:c r="F161" s="63" t="str">
        <x:v>Lote 28</x:v>
      </x:c>
      <x:c r="G161" s="63" t="str">
        <x:v>Espacio limpio</x:v>
      </x:c>
      <x:c r="H161" s="57" t="str">
        <x:v>Alta</x:v>
      </x:c>
      <x:c r="I161" s="63" t="str">
        <x:v>Institucional</x:v>
      </x:c>
      <x:c r="J161" s="65" t="str">
        <x:v>Programado</x:v>
      </x:c>
    </x:row>
    <x:row r="162">
      <x:c r="A162" s="20" t="str">
        <x:v>2026-06-24</x:v>
      </x:c>
      <x:c r="B162" s="62" t="str">
        <x:v>17:00</x:v>
      </x:c>
      <x:c r="C162" s="63" t="str">
        <x:v>VGU</x:v>
      </x:c>
      <x:c r="D162" s="64" t="str">
        <x:v>CORREO</x:v>
      </x:c>
      <x:c r="E162" s="63" t="str">
        <x:v>Selección Tenis de Mesa</x:v>
      </x:c>
      <x:c r="F162" s="63" t="str">
        <x:v>Lote 28</x:v>
      </x:c>
      <x:c r="G162" s="63" t="str">
        <x:v>Espacio limpio</x:v>
      </x:c>
      <x:c r="H162" s="57" t="str">
        <x:v>Alta</x:v>
      </x:c>
      <x:c r="I162" s="63" t="str">
        <x:v>Institucional</x:v>
      </x:c>
      <x:c r="J162" s="65" t="str">
        <x:v>Programado</x:v>
      </x:c>
    </x:row>
    <x:row r="163">
      <x:c r="A163" s="20" t="str">
        <x:v>2026-06-25</x:v>
      </x:c>
      <x:c r="B163" s="62" t="str">
        <x:v>10:00</x:v>
      </x:c>
      <x:c r="C163" s="63" t="str">
        <x:v>VGU</x:v>
      </x:c>
      <x:c r="D163" s="64" t="str">
        <x:v>CORREO</x:v>
      </x:c>
      <x:c r="E163" s="63" t="str">
        <x:v>Selección Wushu Sanda</x:v>
      </x:c>
      <x:c r="F163" s="63" t="str">
        <x:v>Lote 28</x:v>
      </x:c>
      <x:c r="G163" s="63" t="str">
        <x:v>Espacio limpio</x:v>
      </x:c>
      <x:c r="H163" s="57" t="str">
        <x:v>Alta</x:v>
      </x:c>
      <x:c r="I163" s="63" t="str">
        <x:v>Institucional</x:v>
      </x:c>
      <x:c r="J163" s="65" t="str">
        <x:v>Programado</x:v>
      </x:c>
    </x:row>
    <x:row r="164">
      <x:c r="A164" s="20" t="str">
        <x:v>2026-06-26</x:v>
      </x:c>
      <x:c r="B164" s="62" t="str">
        <x:v>10:00</x:v>
      </x:c>
      <x:c r="C164" s="63" t="str">
        <x:v>VGU</x:v>
      </x:c>
      <x:c r="D164" s="64" t="str">
        <x:v>CORREO</x:v>
      </x:c>
      <x:c r="E164" s="63" t="str">
        <x:v>Selección Wushu Taolu</x:v>
      </x:c>
      <x:c r="F164" s="63" t="str">
        <x:v>Lote 28</x:v>
      </x:c>
      <x:c r="G164" s="63" t="str">
        <x:v>Espacio limpio</x:v>
      </x:c>
      <x:c r="H164" s="57" t="str">
        <x:v>Alta</x:v>
      </x:c>
      <x:c r="I164" s="63" t="str">
        <x:v>Institucional</x:v>
      </x:c>
      <x:c r="J164" s="65" t="str">
        <x:v>Programado</x:v>
      </x:c>
    </x:row>
    <x:row r="165">
      <x:c r="A165" s="20" t="str">
        <x:v>2026-06-27</x:v>
      </x:c>
      <x:c r="B165" s="62" t="str">
        <x:v>08:00</x:v>
      </x:c>
      <x:c r="C165" s="63" t="str">
        <x:v>VGU</x:v>
      </x:c>
      <x:c r="D165" s="64" t="str">
        <x:v>CORREO</x:v>
      </x:c>
      <x:c r="E165" s="63" t="str">
        <x:v>Talleres Tenis de Mesa</x:v>
      </x:c>
      <x:c r="F165" s="63" t="str">
        <x:v>Lote 28</x:v>
      </x:c>
      <x:c r="G165" s="63" t="str">
        <x:v>Espacio limpio</x:v>
      </x:c>
      <x:c r="H165" s="57" t="str">
        <x:v>Alta</x:v>
      </x:c>
      <x:c r="I165" s="63" t="str">
        <x:v>Institucional</x:v>
      </x:c>
      <x:c r="J165" s="65" t="str">
        <x:v>Programado</x:v>
      </x:c>
    </x:row>
    <x:row r="166">
      <x:c r="A166" s="20" t="str">
        <x:v>2026-06-27</x:v>
      </x:c>
      <x:c r="B166" s="62" t="str">
        <x:v>10:00</x:v>
      </x:c>
      <x:c r="C166" s="63" t="str">
        <x:v>VGU</x:v>
      </x:c>
      <x:c r="D166" s="64" t="str">
        <x:v>CORREO</x:v>
      </x:c>
      <x:c r="E166" s="63" t="str">
        <x:v>Selección Wushu Sanda</x:v>
      </x:c>
      <x:c r="F166" s="63" t="str">
        <x:v>Lote 28</x:v>
      </x:c>
      <x:c r="G166" s="63" t="str">
        <x:v>Espacio limpio</x:v>
      </x:c>
      <x:c r="H166" s="57" t="str">
        <x:v>Alta</x:v>
      </x:c>
      <x:c r="I166" s="63" t="str">
        <x:v>Institucional</x:v>
      </x:c>
      <x:c r="J166" s="65" t="str">
        <x:v>Programado</x:v>
      </x:c>
    </x:row>
    <x:row r="167">
      <x:c r="A167" s="20" t="str">
        <x:v>2026-06-27</x:v>
      </x:c>
      <x:c r="B167" s="62" t="str">
        <x:v>13:00</x:v>
      </x:c>
      <x:c r="C167" s="63" t="str">
        <x:v>VGU</x:v>
      </x:c>
      <x:c r="D167" s="64" t="str">
        <x:v>CORREO</x:v>
      </x:c>
      <x:c r="E167" s="63" t="str">
        <x:v>Talleres Karate</x:v>
      </x:c>
      <x:c r="F167" s="63" t="str">
        <x:v>Lote 28</x:v>
      </x:c>
      <x:c r="G167" s="63" t="str">
        <x:v>Espacio limpio</x:v>
      </x:c>
      <x:c r="H167" s="57" t="str">
        <x:v>Alta</x:v>
      </x:c>
      <x:c r="I167" s="63" t="str">
        <x:v>Institucional</x:v>
      </x:c>
      <x:c r="J167" s="65" t="str">
        <x:v>Programado</x:v>
      </x:c>
    </x:row>
    <x:row r="168">
      <x:c r="A168" s="20" t="str">
        <x:v>2026-06-27</x:v>
      </x:c>
      <x:c r="B168" s="62" t="str">
        <x:v>15:00</x:v>
      </x:c>
      <x:c r="C168" s="63" t="str">
        <x:v>VGU</x:v>
      </x:c>
      <x:c r="D168" s="64" t="str">
        <x:v>CORREO</x:v>
      </x:c>
      <x:c r="E168" s="63" t="str">
        <x:v>Talleres Lucha Olímpica</x:v>
      </x:c>
      <x:c r="F168" s="63" t="str">
        <x:v>Lote 28</x:v>
      </x:c>
      <x:c r="G168" s="63" t="str">
        <x:v>Espacio limpio</x:v>
      </x:c>
      <x:c r="H168" s="57" t="str">
        <x:v>Alta</x:v>
      </x:c>
      <x:c r="I168" s="63" t="str">
        <x:v>Institucional</x:v>
      </x:c>
      <x:c r="J168" s="65" t="str">
        <x:v>Programado</x:v>
      </x:c>
    </x:row>
    <x:row r="169">
      <x:c r="A169" s="20" t="str">
        <x:v>2026-06-29</x:v>
      </x:c>
      <x:c r="B169" s="62" t="str">
        <x:v>08:00</x:v>
      </x:c>
      <x:c r="C169" s="63" t="str">
        <x:v>VGU</x:v>
      </x:c>
      <x:c r="D169" s="64" t="str">
        <x:v>CORREO</x:v>
      </x:c>
      <x:c r="E169" s="63" t="str">
        <x:v>Talleres Taekwondo</x:v>
      </x:c>
      <x:c r="F169" s="63" t="str">
        <x:v>Lote 28</x:v>
      </x:c>
      <x:c r="G169" s="63" t="str">
        <x:v>Espacio limpio</x:v>
      </x:c>
      <x:c r="H169" s="57" t="str">
        <x:v>Alta</x:v>
      </x:c>
      <x:c r="I169" s="63" t="str">
        <x:v>Institucional</x:v>
      </x:c>
      <x:c r="J169" s="65" t="str">
        <x:v>Programado</x:v>
      </x:c>
    </x:row>
    <x:row r="170">
      <x:c r="A170" s="20" t="str">
        <x:v>2026-06-29</x:v>
      </x:c>
      <x:c r="B170" s="62" t="str">
        <x:v>10:00</x:v>
      </x:c>
      <x:c r="C170" s="63" t="str">
        <x:v>VGU</x:v>
      </x:c>
      <x:c r="D170" s="64" t="str">
        <x:v>CORREO</x:v>
      </x:c>
      <x:c r="E170" s="63" t="str">
        <x:v>Selección Wushu Taolu</x:v>
      </x:c>
      <x:c r="F170" s="63" t="str">
        <x:v>Lote 28</x:v>
      </x:c>
      <x:c r="G170" s="63" t="str">
        <x:v>Espacio limpio</x:v>
      </x:c>
      <x:c r="H170" s="57" t="str">
        <x:v>Alta</x:v>
      </x:c>
      <x:c r="I170" s="63" t="str">
        <x:v>Institucional</x:v>
      </x:c>
      <x:c r="J170" s="65" t="str">
        <x:v>Programado</x:v>
      </x:c>
    </x:row>
    <x:row r="171">
      <x:c r="A171" s="20" t="str">
        <x:v>2026-06-29</x:v>
      </x:c>
      <x:c r="B171" s="62" t="str">
        <x:v>14:00</x:v>
      </x:c>
      <x:c r="C171" s="63" t="str">
        <x:v>VGU</x:v>
      </x:c>
      <x:c r="D171" s="64" t="str">
        <x:v>CORREO</x:v>
      </x:c>
      <x:c r="E171" s="63" t="str">
        <x:v>Talleres Wushu</x:v>
      </x:c>
      <x:c r="F171" s="63" t="str">
        <x:v>Lote 28</x:v>
      </x:c>
      <x:c r="G171" s="63" t="str">
        <x:v>Espacio limpio</x:v>
      </x:c>
      <x:c r="H171" s="57" t="str">
        <x:v>Alta</x:v>
      </x:c>
      <x:c r="I171" s="63" t="str">
        <x:v>Institucional</x:v>
      </x:c>
      <x:c r="J171" s="65" t="str">
        <x:v>Programado</x:v>
      </x:c>
    </x:row>
    <x:row r="172">
      <x:c r="A172" s="20" t="str">
        <x:v>2026-06-29</x:v>
      </x:c>
      <x:c r="B172" s="62" t="str">
        <x:v>17:00</x:v>
      </x:c>
      <x:c r="C172" s="63" t="str">
        <x:v>VGU</x:v>
      </x:c>
      <x:c r="D172" s="64" t="str">
        <x:v>CORREO</x:v>
      </x:c>
      <x:c r="E172" s="63" t="str">
        <x:v>Selección Tenis de Mesa</x:v>
      </x:c>
      <x:c r="F172" s="63" t="str">
        <x:v>Lote 28</x:v>
      </x:c>
      <x:c r="G172" s="63" t="str">
        <x:v>Espacio limpio</x:v>
      </x:c>
      <x:c r="H172" s="57" t="str">
        <x:v>Alta</x:v>
      </x:c>
      <x:c r="I172" s="63" t="str">
        <x:v>Institucional</x:v>
      </x:c>
      <x:c r="J172" s="65" t="str">
        <x:v>Programado</x:v>
      </x:c>
    </x:row>
    <x:row r="173">
      <x:c r="A173" s="20" t="str">
        <x:v>2026-06-30</x:v>
      </x:c>
      <x:c r="B173" s="62" t="str">
        <x:v>10:00</x:v>
      </x:c>
      <x:c r="C173" s="63" t="str">
        <x:v>VGU</x:v>
      </x:c>
      <x:c r="D173" s="64" t="str">
        <x:v>CORREO</x:v>
      </x:c>
      <x:c r="E173" s="63" t="str">
        <x:v>Selección Wushu Sanda</x:v>
      </x:c>
      <x:c r="F173" s="63" t="str">
        <x:v>Lote 28</x:v>
      </x:c>
      <x:c r="G173" s="63" t="str">
        <x:v>Espacio limpio</x:v>
      </x:c>
      <x:c r="H173" s="57" t="str">
        <x:v>Alta</x:v>
      </x:c>
      <x:c r="I173" s="63" t="str">
        <x:v>Institucional</x:v>
      </x:c>
      <x:c r="J173" s="65" t="str">
        <x:v>Programado</x:v>
      </x:c>
    </x:row>
    <x:row r="174">
      <x:c r="A174" s="20" t="str">
        <x:v>2026-07-01</x:v>
      </x:c>
      <x:c r="B174" s="62" t="str">
        <x:v>10:00</x:v>
      </x:c>
      <x:c r="C174" s="63" t="str">
        <x:v>VGU</x:v>
      </x:c>
      <x:c r="D174" s="64" t="str">
        <x:v>CORREO</x:v>
      </x:c>
      <x:c r="E174" s="63" t="str">
        <x:v>Selección Wushu Taolu</x:v>
      </x:c>
      <x:c r="F174" s="63" t="str">
        <x:v>Lote 28</x:v>
      </x:c>
      <x:c r="G174" s="63" t="str">
        <x:v>Espacio limpio</x:v>
      </x:c>
      <x:c r="H174" s="57" t="str">
        <x:v>Alta</x:v>
      </x:c>
      <x:c r="I174" s="63" t="str">
        <x:v>Institucional</x:v>
      </x:c>
      <x:c r="J174" s="65" t="str">
        <x:v>Programado</x:v>
      </x:c>
    </x:row>
    <x:row r="175">
      <x:c r="A175" s="20" t="str">
        <x:v>2026-07-01</x:v>
      </x:c>
      <x:c r="B175" s="62" t="str">
        <x:v>17:00</x:v>
      </x:c>
      <x:c r="C175" s="63" t="str">
        <x:v>VGU</x:v>
      </x:c>
      <x:c r="D175" s="64" t="str">
        <x:v>CORREO</x:v>
      </x:c>
      <x:c r="E175" s="63" t="str">
        <x:v>Selección Tenis de Mesa</x:v>
      </x:c>
      <x:c r="F175" s="63" t="str">
        <x:v>Lote 28</x:v>
      </x:c>
      <x:c r="G175" s="63" t="str">
        <x:v>Espacio limpio</x:v>
      </x:c>
      <x:c r="H175" s="57" t="str">
        <x:v>Alta</x:v>
      </x:c>
      <x:c r="I175" s="63" t="str">
        <x:v>Institucional</x:v>
      </x:c>
      <x:c r="J175" s="65" t="str">
        <x:v>Programado</x:v>
      </x:c>
    </x:row>
    <x:row r="176">
      <x:c r="A176" s="20" t="str">
        <x:v>2026-07-02</x:v>
      </x:c>
      <x:c r="B176" s="62" t="str">
        <x:v>10:00</x:v>
      </x:c>
      <x:c r="C176" s="63" t="str">
        <x:v>VGU</x:v>
      </x:c>
      <x:c r="D176" s="64" t="str">
        <x:v>CORREO</x:v>
      </x:c>
      <x:c r="E176" s="63" t="str">
        <x:v>Selección Wushu Sanda</x:v>
      </x:c>
      <x:c r="F176" s="63" t="str">
        <x:v>Lote 28</x:v>
      </x:c>
      <x:c r="G176" s="63" t="str">
        <x:v>Espacio limpio</x:v>
      </x:c>
      <x:c r="H176" s="57" t="str">
        <x:v>Alta</x:v>
      </x:c>
      <x:c r="I176" s="63" t="str">
        <x:v>Institucional</x:v>
      </x:c>
      <x:c r="J176" s="65" t="str">
        <x:v>Programado</x:v>
      </x:c>
    </x:row>
    <x:row r="177">
      <x:c r="A177" s="20" t="str">
        <x:v>2026-07-03</x:v>
      </x:c>
      <x:c r="B177" s="62" t="str">
        <x:v>10:00</x:v>
      </x:c>
      <x:c r="C177" s="63" t="str">
        <x:v>VGU</x:v>
      </x:c>
      <x:c r="D177" s="64" t="str">
        <x:v>CORREO</x:v>
      </x:c>
      <x:c r="E177" s="63" t="str">
        <x:v>Selección Wushu Taolu</x:v>
      </x:c>
      <x:c r="F177" s="63" t="str">
        <x:v>Lote 28</x:v>
      </x:c>
      <x:c r="G177" s="63" t="str">
        <x:v>Espacio limpio</x:v>
      </x:c>
      <x:c r="H177" s="57" t="str">
        <x:v>Alta</x:v>
      </x:c>
      <x:c r="I177" s="63" t="str">
        <x:v>Institucional</x:v>
      </x:c>
      <x:c r="J177" s="65" t="str">
        <x:v>Programado</x:v>
      </x:c>
    </x:row>
    <x:row r="178">
      <x:c r="A178" s="20" t="str">
        <x:v>2026-07-04</x:v>
      </x:c>
      <x:c r="B178" s="62" t="str">
        <x:v>08:00</x:v>
      </x:c>
      <x:c r="C178" s="63" t="str">
        <x:v>VGU</x:v>
      </x:c>
      <x:c r="D178" s="64" t="str">
        <x:v>CORREO</x:v>
      </x:c>
      <x:c r="E178" s="63" t="str">
        <x:v>Talleres Tenis de Mesa</x:v>
      </x:c>
      <x:c r="F178" s="63" t="str">
        <x:v>Lote 28</x:v>
      </x:c>
      <x:c r="G178" s="63" t="str">
        <x:v>Espacio limpio</x:v>
      </x:c>
      <x:c r="H178" s="57" t="str">
        <x:v>Alta</x:v>
      </x:c>
      <x:c r="I178" s="63" t="str">
        <x:v>Institucional</x:v>
      </x:c>
      <x:c r="J178" s="65" t="str">
        <x:v>Programado</x:v>
      </x:c>
    </x:row>
    <x:row r="179">
      <x:c r="A179" s="20" t="str">
        <x:v>2026-07-04</x:v>
      </x:c>
      <x:c r="B179" s="62" t="str">
        <x:v>10:00</x:v>
      </x:c>
      <x:c r="C179" s="63" t="str">
        <x:v>VGU</x:v>
      </x:c>
      <x:c r="D179" s="64" t="str">
        <x:v>CORREO</x:v>
      </x:c>
      <x:c r="E179" s="63" t="str">
        <x:v>Selección Wushu Sanda</x:v>
      </x:c>
      <x:c r="F179" s="63" t="str">
        <x:v>Lote 28</x:v>
      </x:c>
      <x:c r="G179" s="63" t="str">
        <x:v>Espacio limpio</x:v>
      </x:c>
      <x:c r="H179" s="57" t="str">
        <x:v>Alta</x:v>
      </x:c>
      <x:c r="I179" s="63" t="str">
        <x:v>Institucional</x:v>
      </x:c>
      <x:c r="J179" s="65" t="str">
        <x:v>Programado</x:v>
      </x:c>
    </x:row>
    <x:row r="180">
      <x:c r="A180" s="20" t="str">
        <x:v>2026-07-04</x:v>
      </x:c>
      <x:c r="B180" s="62" t="str">
        <x:v>13:00</x:v>
      </x:c>
      <x:c r="C180" s="63" t="str">
        <x:v>VGU</x:v>
      </x:c>
      <x:c r="D180" s="64" t="str">
        <x:v>CORREO</x:v>
      </x:c>
      <x:c r="E180" s="63" t="str">
        <x:v>Talleres Karate</x:v>
      </x:c>
      <x:c r="F180" s="63" t="str">
        <x:v>Lote 28</x:v>
      </x:c>
      <x:c r="G180" s="63" t="str">
        <x:v>Espacio limpio</x:v>
      </x:c>
      <x:c r="H180" s="57" t="str">
        <x:v>Alta</x:v>
      </x:c>
      <x:c r="I180" s="63" t="str">
        <x:v>Institucional</x:v>
      </x:c>
      <x:c r="J180" s="65" t="str">
        <x:v>Programado</x:v>
      </x:c>
    </x:row>
    <x:row r="181">
      <x:c r="A181" s="20" t="str">
        <x:v>2026-07-04</x:v>
      </x:c>
      <x:c r="B181" s="62" t="str">
        <x:v>15:00</x:v>
      </x:c>
      <x:c r="C181" s="63" t="str">
        <x:v>VGU</x:v>
      </x:c>
      <x:c r="D181" s="64" t="str">
        <x:v>CORREO</x:v>
      </x:c>
      <x:c r="E181" s="63" t="str">
        <x:v>Talleres Lucha Olímpica</x:v>
      </x:c>
      <x:c r="F181" s="63" t="str">
        <x:v>Lote 28</x:v>
      </x:c>
      <x:c r="G181" s="63" t="str">
        <x:v>Espacio limpio</x:v>
      </x:c>
      <x:c r="H181" s="57" t="str">
        <x:v>Alta</x:v>
      </x:c>
      <x:c r="I181" s="63" t="str">
        <x:v>Institucional</x:v>
      </x:c>
      <x:c r="J181" s="65" t="str">
        <x:v>Programado</x:v>
      </x:c>
    </x:row>
    <x:row r="182">
      <x:c r="A182" s="20" t="str">
        <x:v>2026-07-06</x:v>
      </x:c>
      <x:c r="B182" s="62" t="str">
        <x:v>08:00</x:v>
      </x:c>
      <x:c r="C182" s="63" t="str">
        <x:v>VGU</x:v>
      </x:c>
      <x:c r="D182" s="64" t="str">
        <x:v>CORREO</x:v>
      </x:c>
      <x:c r="E182" s="63" t="str">
        <x:v>Talleres Taekwondo</x:v>
      </x:c>
      <x:c r="F182" s="63" t="str">
        <x:v>Lote 28</x:v>
      </x:c>
      <x:c r="G182" s="63" t="str">
        <x:v>Espacio limpio</x:v>
      </x:c>
      <x:c r="H182" s="57" t="str">
        <x:v>Alta</x:v>
      </x:c>
      <x:c r="I182" s="63" t="str">
        <x:v>Institucional</x:v>
      </x:c>
      <x:c r="J182" s="65" t="str">
        <x:v>Programado</x:v>
      </x:c>
    </x:row>
    <x:row r="183">
      <x:c r="A183" s="20" t="str">
        <x:v>2026-07-06</x:v>
      </x:c>
      <x:c r="B183" s="62" t="str">
        <x:v>10:00</x:v>
      </x:c>
      <x:c r="C183" s="63" t="str">
        <x:v>VGU</x:v>
      </x:c>
      <x:c r="D183" s="64" t="str">
        <x:v>CORREO</x:v>
      </x:c>
      <x:c r="E183" s="63" t="str">
        <x:v>Selección Wushu Taolu</x:v>
      </x:c>
      <x:c r="F183" s="63" t="str">
        <x:v>Lote 28</x:v>
      </x:c>
      <x:c r="G183" s="63" t="str">
        <x:v>Espacio limpio</x:v>
      </x:c>
      <x:c r="H183" s="57" t="str">
        <x:v>Alta</x:v>
      </x:c>
      <x:c r="I183" s="63" t="str">
        <x:v>Institucional</x:v>
      </x:c>
      <x:c r="J183" s="65" t="str">
        <x:v>Programado</x:v>
      </x:c>
    </x:row>
    <x:row r="184">
      <x:c r="A184" s="20" t="str">
        <x:v>2026-07-06</x:v>
      </x:c>
      <x:c r="B184" s="62" t="str">
        <x:v>14:00</x:v>
      </x:c>
      <x:c r="C184" s="63" t="str">
        <x:v>VGU</x:v>
      </x:c>
      <x:c r="D184" s="64" t="str">
        <x:v>CORREO</x:v>
      </x:c>
      <x:c r="E184" s="63" t="str">
        <x:v>Talleres Wushu</x:v>
      </x:c>
      <x:c r="F184" s="63" t="str">
        <x:v>Lote 28</x:v>
      </x:c>
      <x:c r="G184" s="63" t="str">
        <x:v>Espacio limpio</x:v>
      </x:c>
      <x:c r="H184" s="57" t="str">
        <x:v>Alta</x:v>
      </x:c>
      <x:c r="I184" s="63" t="str">
        <x:v>Institucional</x:v>
      </x:c>
      <x:c r="J184" s="65" t="str">
        <x:v>Programado</x:v>
      </x:c>
    </x:row>
    <x:row r="185">
      <x:c r="A185" s="20" t="str">
        <x:v>2026-07-06</x:v>
      </x:c>
      <x:c r="B185" s="62" t="str">
        <x:v>17:00</x:v>
      </x:c>
      <x:c r="C185" s="63" t="str">
        <x:v>VGU</x:v>
      </x:c>
      <x:c r="D185" s="64" t="str">
        <x:v>CORREO</x:v>
      </x:c>
      <x:c r="E185" s="63" t="str">
        <x:v>Selección Tenis de Mesa</x:v>
      </x:c>
      <x:c r="F185" s="63" t="str">
        <x:v>Lote 28</x:v>
      </x:c>
      <x:c r="G185" s="63" t="str">
        <x:v>Espacio limpio</x:v>
      </x:c>
      <x:c r="H185" s="57" t="str">
        <x:v>Alta</x:v>
      </x:c>
      <x:c r="I185" s="63" t="str">
        <x:v>Institucional</x:v>
      </x:c>
      <x:c r="J185" s="65" t="str">
        <x:v>Programado</x:v>
      </x:c>
    </x:row>
    <x:row r="186">
      <x:c r="A186" s="20" t="str">
        <x:v>2026-07-07</x:v>
      </x:c>
      <x:c r="B186" s="62" t="str">
        <x:v>10:00</x:v>
      </x:c>
      <x:c r="C186" s="63" t="str">
        <x:v>VGU</x:v>
      </x:c>
      <x:c r="D186" s="64" t="str">
        <x:v>CORREO</x:v>
      </x:c>
      <x:c r="E186" s="63" t="str">
        <x:v>Selección Wushu Sanda</x:v>
      </x:c>
      <x:c r="F186" s="63" t="str">
        <x:v>Lote 28</x:v>
      </x:c>
      <x:c r="G186" s="63" t="str">
        <x:v>Espacio limpio</x:v>
      </x:c>
      <x:c r="H186" s="57" t="str">
        <x:v>Alta</x:v>
      </x:c>
      <x:c r="I186" s="63" t="str">
        <x:v>Institucional</x:v>
      </x:c>
      <x:c r="J186" s="65" t="str">
        <x:v>Programado</x:v>
      </x:c>
    </x:row>
    <x:row r="187">
      <x:c r="A187" s="20" t="str">
        <x:v>2026-07-08</x:v>
      </x:c>
      <x:c r="B187" s="62" t="str">
        <x:v>10:00</x:v>
      </x:c>
      <x:c r="C187" s="63" t="str">
        <x:v>VGU</x:v>
      </x:c>
      <x:c r="D187" s="64" t="str">
        <x:v>CORREO</x:v>
      </x:c>
      <x:c r="E187" s="63" t="str">
        <x:v>Selección Wushu Taolu</x:v>
      </x:c>
      <x:c r="F187" s="63" t="str">
        <x:v>Lote 28</x:v>
      </x:c>
      <x:c r="G187" s="63" t="str">
        <x:v>Espacio limpio</x:v>
      </x:c>
      <x:c r="H187" s="57" t="str">
        <x:v>Alta</x:v>
      </x:c>
      <x:c r="I187" s="63" t="str">
        <x:v>Institucional</x:v>
      </x:c>
      <x:c r="J187" s="65" t="str">
        <x:v>Programado</x:v>
      </x:c>
    </x:row>
    <x:row r="188">
      <x:c r="A188" s="20" t="str">
        <x:v>2026-07-08</x:v>
      </x:c>
      <x:c r="B188" s="62" t="str">
        <x:v>17:00</x:v>
      </x:c>
      <x:c r="C188" s="63" t="str">
        <x:v>VGU</x:v>
      </x:c>
      <x:c r="D188" s="64" t="str">
        <x:v>CORREO</x:v>
      </x:c>
      <x:c r="E188" s="63" t="str">
        <x:v>Selección Tenis de Mesa</x:v>
      </x:c>
      <x:c r="F188" s="63" t="str">
        <x:v>Lote 28</x:v>
      </x:c>
      <x:c r="G188" s="63" t="str">
        <x:v>Espacio limpio</x:v>
      </x:c>
      <x:c r="H188" s="57" t="str">
        <x:v>Alta</x:v>
      </x:c>
      <x:c r="I188" s="63" t="str">
        <x:v>Institucional</x:v>
      </x:c>
      <x:c r="J188" s="65" t="str">
        <x:v>Programado</x:v>
      </x:c>
    </x:row>
    <x:row r="189">
      <x:c r="A189" s="20" t="str">
        <x:v>2026-07-09</x:v>
      </x:c>
      <x:c r="B189" s="62" t="str">
        <x:v>10:00</x:v>
      </x:c>
      <x:c r="C189" s="63" t="str">
        <x:v>VGU</x:v>
      </x:c>
      <x:c r="D189" s="64" t="str">
        <x:v>CORREO</x:v>
      </x:c>
      <x:c r="E189" s="63" t="str">
        <x:v>Selección Wushu Sanda</x:v>
      </x:c>
      <x:c r="F189" s="63" t="str">
        <x:v>Lote 28</x:v>
      </x:c>
      <x:c r="G189" s="63" t="str">
        <x:v>Espacio limpio</x:v>
      </x:c>
      <x:c r="H189" s="57" t="str">
        <x:v>Alta</x:v>
      </x:c>
      <x:c r="I189" s="63" t="str">
        <x:v>Institucional</x:v>
      </x:c>
      <x:c r="J189" s="65" t="str">
        <x:v>Programado</x:v>
      </x:c>
    </x:row>
    <x:row r="190">
      <x:c r="A190" s="20" t="str">
        <x:v>2026-07-10</x:v>
      </x:c>
      <x:c r="B190" s="62" t="str">
        <x:v>10:00</x:v>
      </x:c>
      <x:c r="C190" s="63" t="str">
        <x:v>VGU</x:v>
      </x:c>
      <x:c r="D190" s="64" t="str">
        <x:v>CORREO</x:v>
      </x:c>
      <x:c r="E190" s="63" t="str">
        <x:v>Selección Wushu Taolu</x:v>
      </x:c>
      <x:c r="F190" s="63" t="str">
        <x:v>Lote 28</x:v>
      </x:c>
      <x:c r="G190" s="63" t="str">
        <x:v>Espacio limpio</x:v>
      </x:c>
      <x:c r="H190" s="57" t="str">
        <x:v>Alta</x:v>
      </x:c>
      <x:c r="I190" s="63" t="str">
        <x:v>Institucional</x:v>
      </x:c>
      <x:c r="J190" s="65" t="str">
        <x:v>Programado</x:v>
      </x:c>
    </x:row>
    <x:row r="191">
      <x:c r="A191" s="20" t="str">
        <x:v>2026-07-11</x:v>
      </x:c>
      <x:c r="B191" s="62" t="str">
        <x:v>08:00</x:v>
      </x:c>
      <x:c r="C191" s="63" t="str">
        <x:v>VGU</x:v>
      </x:c>
      <x:c r="D191" s="64" t="str">
        <x:v>CORREO</x:v>
      </x:c>
      <x:c r="E191" s="63" t="str">
        <x:v>Talleres Tenis de Mesa</x:v>
      </x:c>
      <x:c r="F191" s="63" t="str">
        <x:v>Lote 28</x:v>
      </x:c>
      <x:c r="G191" s="63" t="str">
        <x:v>Espacio limpio</x:v>
      </x:c>
      <x:c r="H191" s="57" t="str">
        <x:v>Alta</x:v>
      </x:c>
      <x:c r="I191" s="63" t="str">
        <x:v>Institucional</x:v>
      </x:c>
      <x:c r="J191" s="65" t="str">
        <x:v>Programado</x:v>
      </x:c>
    </x:row>
    <x:row r="192">
      <x:c r="A192" s="20" t="str">
        <x:v>2026-07-11</x:v>
      </x:c>
      <x:c r="B192" s="62" t="str">
        <x:v>10:00</x:v>
      </x:c>
      <x:c r="C192" s="63" t="str">
        <x:v>VGU</x:v>
      </x:c>
      <x:c r="D192" s="64" t="str">
        <x:v>CORREO</x:v>
      </x:c>
      <x:c r="E192" s="63" t="str">
        <x:v>Selección Wushu Sanda</x:v>
      </x:c>
      <x:c r="F192" s="63" t="str">
        <x:v>Lote 28</x:v>
      </x:c>
      <x:c r="G192" s="63" t="str">
        <x:v>Espacio limpio</x:v>
      </x:c>
      <x:c r="H192" s="57" t="str">
        <x:v>Alta</x:v>
      </x:c>
      <x:c r="I192" s="63" t="str">
        <x:v>Institucional</x:v>
      </x:c>
      <x:c r="J192" s="65" t="str">
        <x:v>Programado</x:v>
      </x:c>
    </x:row>
    <x:row r="193">
      <x:c r="A193" s="20" t="str">
        <x:v>2026-07-11</x:v>
      </x:c>
      <x:c r="B193" s="62" t="str">
        <x:v>13:00</x:v>
      </x:c>
      <x:c r="C193" s="63" t="str">
        <x:v>VGU</x:v>
      </x:c>
      <x:c r="D193" s="64" t="str">
        <x:v>CORREO</x:v>
      </x:c>
      <x:c r="E193" s="63" t="str">
        <x:v>Talleres Karate</x:v>
      </x:c>
      <x:c r="F193" s="63" t="str">
        <x:v>Lote 28</x:v>
      </x:c>
      <x:c r="G193" s="63" t="str">
        <x:v>Espacio limpio</x:v>
      </x:c>
      <x:c r="H193" s="57" t="str">
        <x:v>Alta</x:v>
      </x:c>
      <x:c r="I193" s="63" t="str">
        <x:v>Institucional</x:v>
      </x:c>
      <x:c r="J193" s="65" t="str">
        <x:v>Programado</x:v>
      </x:c>
    </x:row>
    <x:row r="194">
      <x:c r="A194" s="20" t="str">
        <x:v>2026-07-11</x:v>
      </x:c>
      <x:c r="B194" s="62" t="str">
        <x:v>15:00</x:v>
      </x:c>
      <x:c r="C194" s="63" t="str">
        <x:v>VGU</x:v>
      </x:c>
      <x:c r="D194" s="64" t="str">
        <x:v>CORREO</x:v>
      </x:c>
      <x:c r="E194" s="63" t="str">
        <x:v>Talleres Lucha Olímpica</x:v>
      </x:c>
      <x:c r="F194" s="63" t="str">
        <x:v>Lote 28</x:v>
      </x:c>
      <x:c r="G194" s="63" t="str">
        <x:v>Espacio limpio</x:v>
      </x:c>
      <x:c r="H194" s="57" t="str">
        <x:v>Alta</x:v>
      </x:c>
      <x:c r="I194" s="63" t="str">
        <x:v>Institucional</x:v>
      </x:c>
      <x:c r="J194" s="65" t="str">
        <x:v>Programado</x:v>
      </x:c>
    </x:row>
    <x:row r="195">
      <x:c r="A195" s="20" t="str">
        <x:v>2026-07-13</x:v>
      </x:c>
      <x:c r="B195" s="62" t="str">
        <x:v>08:00</x:v>
      </x:c>
      <x:c r="C195" s="63" t="str">
        <x:v>VGU</x:v>
      </x:c>
      <x:c r="D195" s="64" t="str">
        <x:v>CORREO</x:v>
      </x:c>
      <x:c r="E195" s="63" t="str">
        <x:v>Talleres Taekwondo</x:v>
      </x:c>
      <x:c r="F195" s="63" t="str">
        <x:v>Lote 28</x:v>
      </x:c>
      <x:c r="G195" s="63" t="str">
        <x:v>Espacio limpio</x:v>
      </x:c>
      <x:c r="H195" s="57" t="str">
        <x:v>Alta</x:v>
      </x:c>
      <x:c r="I195" s="63" t="str">
        <x:v>Institucional</x:v>
      </x:c>
      <x:c r="J195" s="65" t="str">
        <x:v>Programado</x:v>
      </x:c>
    </x:row>
    <x:row r="196">
      <x:c r="A196" s="20" t="str">
        <x:v>2026-07-13</x:v>
      </x:c>
      <x:c r="B196" s="62" t="str">
        <x:v>10:00</x:v>
      </x:c>
      <x:c r="C196" s="63" t="str">
        <x:v>VGU</x:v>
      </x:c>
      <x:c r="D196" s="64" t="str">
        <x:v>CORREO</x:v>
      </x:c>
      <x:c r="E196" s="63" t="str">
        <x:v>Selección Wushu Taolu</x:v>
      </x:c>
      <x:c r="F196" s="63" t="str">
        <x:v>Lote 28</x:v>
      </x:c>
      <x:c r="G196" s="63" t="str">
        <x:v>Espacio limpio</x:v>
      </x:c>
      <x:c r="H196" s="57" t="str">
        <x:v>Alta</x:v>
      </x:c>
      <x:c r="I196" s="63" t="str">
        <x:v>Institucional</x:v>
      </x:c>
      <x:c r="J196" s="65" t="str">
        <x:v>Programado</x:v>
      </x:c>
    </x:row>
    <x:row r="197">
      <x:c r="A197" s="20" t="str">
        <x:v>2026-07-13</x:v>
      </x:c>
      <x:c r="B197" s="62" t="str">
        <x:v>14:00</x:v>
      </x:c>
      <x:c r="C197" s="63" t="str">
        <x:v>VGU</x:v>
      </x:c>
      <x:c r="D197" s="64" t="str">
        <x:v>CORREO</x:v>
      </x:c>
      <x:c r="E197" s="63" t="str">
        <x:v>Talleres Wushu</x:v>
      </x:c>
      <x:c r="F197" s="63" t="str">
        <x:v>Lote 28</x:v>
      </x:c>
      <x:c r="G197" s="63" t="str">
        <x:v>Espacio limpio</x:v>
      </x:c>
      <x:c r="H197" s="57" t="str">
        <x:v>Alta</x:v>
      </x:c>
      <x:c r="I197" s="63" t="str">
        <x:v>Institucional</x:v>
      </x:c>
      <x:c r="J197" s="65" t="str">
        <x:v>Programado</x:v>
      </x:c>
    </x:row>
    <x:row r="198">
      <x:c r="A198" s="20" t="str">
        <x:v>2026-07-13</x:v>
      </x:c>
      <x:c r="B198" s="62" t="str">
        <x:v>17:00</x:v>
      </x:c>
      <x:c r="C198" s="63" t="str">
        <x:v>VGU</x:v>
      </x:c>
      <x:c r="D198" s="64" t="str">
        <x:v>CORREO</x:v>
      </x:c>
      <x:c r="E198" s="63" t="str">
        <x:v>Selección Tenis de Mesa</x:v>
      </x:c>
      <x:c r="F198" s="63" t="str">
        <x:v>Lote 28</x:v>
      </x:c>
      <x:c r="G198" s="63" t="str">
        <x:v>Espacio limpio</x:v>
      </x:c>
      <x:c r="H198" s="57" t="str">
        <x:v>Alta</x:v>
      </x:c>
      <x:c r="I198" s="63" t="str">
        <x:v>Institucional</x:v>
      </x:c>
      <x:c r="J198" s="65" t="str">
        <x:v>Programado</x:v>
      </x:c>
    </x:row>
    <x:row r="199">
      <x:c r="A199" s="20" t="str">
        <x:v>2026-07-14</x:v>
      </x:c>
      <x:c r="B199" s="62" t="str">
        <x:v>10:00</x:v>
      </x:c>
      <x:c r="C199" s="63" t="str">
        <x:v>VGU</x:v>
      </x:c>
      <x:c r="D199" s="64" t="str">
        <x:v>CORREO</x:v>
      </x:c>
      <x:c r="E199" s="63" t="str">
        <x:v>Selección Wushu Sanda</x:v>
      </x:c>
      <x:c r="F199" s="63" t="str">
        <x:v>Lote 28</x:v>
      </x:c>
      <x:c r="G199" s="63" t="str">
        <x:v>Espacio limpio</x:v>
      </x:c>
      <x:c r="H199" s="57" t="str">
        <x:v>Alta</x:v>
      </x:c>
      <x:c r="I199" s="63" t="str">
        <x:v>Institucional</x:v>
      </x:c>
      <x:c r="J199" s="65" t="str">
        <x:v>Programado</x:v>
      </x:c>
    </x:row>
    <x:row r="200">
      <x:c r="A200" s="20" t="str">
        <x:v>2026-07-15</x:v>
      </x:c>
      <x:c r="B200" s="62" t="str">
        <x:v>10:00</x:v>
      </x:c>
      <x:c r="C200" s="63" t="str">
        <x:v>VGU</x:v>
      </x:c>
      <x:c r="D200" s="64" t="str">
        <x:v>CORREO</x:v>
      </x:c>
      <x:c r="E200" s="63" t="str">
        <x:v>Selección Wushu Taolu</x:v>
      </x:c>
      <x:c r="F200" s="63" t="str">
        <x:v>Lote 28</x:v>
      </x:c>
      <x:c r="G200" s="63" t="str">
        <x:v>Espacio limpio</x:v>
      </x:c>
      <x:c r="H200" s="57" t="str">
        <x:v>Alta</x:v>
      </x:c>
      <x:c r="I200" s="63" t="str">
        <x:v>Institucional</x:v>
      </x:c>
      <x:c r="J200" s="65" t="str">
        <x:v>Programado</x:v>
      </x:c>
    </x:row>
    <x:row r="201">
      <x:c r="A201" s="20" t="str">
        <x:v>2026-07-15</x:v>
      </x:c>
      <x:c r="B201" s="62" t="str">
        <x:v>17:00</x:v>
      </x:c>
      <x:c r="C201" s="63" t="str">
        <x:v>VGU</x:v>
      </x:c>
      <x:c r="D201" s="64" t="str">
        <x:v>CORREO</x:v>
      </x:c>
      <x:c r="E201" s="63" t="str">
        <x:v>Selección Tenis de Mesa</x:v>
      </x:c>
      <x:c r="F201" s="63" t="str">
        <x:v>Lote 28</x:v>
      </x:c>
      <x:c r="G201" s="63" t="str">
        <x:v>Espacio limpio</x:v>
      </x:c>
      <x:c r="H201" s="57" t="str">
        <x:v>Alta</x:v>
      </x:c>
      <x:c r="I201" s="63" t="str">
        <x:v>Institucional</x:v>
      </x:c>
      <x:c r="J201" s="65" t="str">
        <x:v>Programado</x:v>
      </x:c>
    </x:row>
    <x:row r="202">
      <x:c r="A202" s="20" t="str">
        <x:v>2026-07-16</x:v>
      </x:c>
      <x:c r="B202" s="62" t="str">
        <x:v>10:00</x:v>
      </x:c>
      <x:c r="C202" s="63" t="str">
        <x:v>VGU</x:v>
      </x:c>
      <x:c r="D202" s="64" t="str">
        <x:v>CORREO</x:v>
      </x:c>
      <x:c r="E202" s="63" t="str">
        <x:v>Selección Wushu Sanda</x:v>
      </x:c>
      <x:c r="F202" s="63" t="str">
        <x:v>Lote 28</x:v>
      </x:c>
      <x:c r="G202" s="63" t="str">
        <x:v>Espacio limpio</x:v>
      </x:c>
      <x:c r="H202" s="57" t="str">
        <x:v>Alta</x:v>
      </x:c>
      <x:c r="I202" s="63" t="str">
        <x:v>Institucional</x:v>
      </x:c>
      <x:c r="J202" s="65" t="str">
        <x:v>Programado</x:v>
      </x:c>
    </x:row>
    <x:row r="203">
      <x:c r="A203" s="20" t="str">
        <x:v>2026-07-17</x:v>
      </x:c>
      <x:c r="B203" s="62" t="str">
        <x:v>10:00</x:v>
      </x:c>
      <x:c r="C203" s="63" t="str">
        <x:v>VGU</x:v>
      </x:c>
      <x:c r="D203" s="64" t="str">
        <x:v>CORREO</x:v>
      </x:c>
      <x:c r="E203" s="63" t="str">
        <x:v>Selección Wushu Taolu</x:v>
      </x:c>
      <x:c r="F203" s="63" t="str">
        <x:v>Lote 28</x:v>
      </x:c>
      <x:c r="G203" s="63" t="str">
        <x:v>Espacio limpio</x:v>
      </x:c>
      <x:c r="H203" s="57" t="str">
        <x:v>Alta</x:v>
      </x:c>
      <x:c r="I203" s="63" t="str">
        <x:v>Institucional</x:v>
      </x:c>
      <x:c r="J203" s="65" t="str">
        <x:v>Programado</x:v>
      </x:c>
    </x:row>
    <x:row r="204">
      <x:c r="A204" s="20" t="str">
        <x:v>2026-07-18</x:v>
      </x:c>
      <x:c r="B204" s="62" t="str">
        <x:v>08:00</x:v>
      </x:c>
      <x:c r="C204" s="63" t="str">
        <x:v>VGU</x:v>
      </x:c>
      <x:c r="D204" s="64" t="str">
        <x:v>CORREO</x:v>
      </x:c>
      <x:c r="E204" s="63" t="str">
        <x:v>Talleres Tenis de Mesa</x:v>
      </x:c>
      <x:c r="F204" s="63" t="str">
        <x:v>Lote 28</x:v>
      </x:c>
      <x:c r="G204" s="63" t="str">
        <x:v>Espacio limpio</x:v>
      </x:c>
      <x:c r="H204" s="57" t="str">
        <x:v>Alta</x:v>
      </x:c>
      <x:c r="I204" s="63" t="str">
        <x:v>Institucional</x:v>
      </x:c>
      <x:c r="J204" s="65" t="str">
        <x:v>Programado</x:v>
      </x:c>
    </x:row>
    <x:row r="205">
      <x:c r="A205" s="20" t="str">
        <x:v>2026-07-18</x:v>
      </x:c>
      <x:c r="B205" s="62" t="str">
        <x:v>10:00</x:v>
      </x:c>
      <x:c r="C205" s="63" t="str">
        <x:v>VGU</x:v>
      </x:c>
      <x:c r="D205" s="64" t="str">
        <x:v>CORREO</x:v>
      </x:c>
      <x:c r="E205" s="63" t="str">
        <x:v>Selección Wushu Sanda</x:v>
      </x:c>
      <x:c r="F205" s="63" t="str">
        <x:v>Lote 28</x:v>
      </x:c>
      <x:c r="G205" s="63" t="str">
        <x:v>Espacio limpio</x:v>
      </x:c>
      <x:c r="H205" s="57" t="str">
        <x:v>Alta</x:v>
      </x:c>
      <x:c r="I205" s="63" t="str">
        <x:v>Institucional</x:v>
      </x:c>
      <x:c r="J205" s="65" t="str">
        <x:v>Programado</x:v>
      </x:c>
    </x:row>
    <x:row r="206">
      <x:c r="A206" s="20" t="str">
        <x:v>2026-07-18</x:v>
      </x:c>
      <x:c r="B206" s="62" t="str">
        <x:v>13:00</x:v>
      </x:c>
      <x:c r="C206" s="63" t="str">
        <x:v>VGU</x:v>
      </x:c>
      <x:c r="D206" s="64" t="str">
        <x:v>CORREO</x:v>
      </x:c>
      <x:c r="E206" s="63" t="str">
        <x:v>Talleres Karate</x:v>
      </x:c>
      <x:c r="F206" s="63" t="str">
        <x:v>Lote 28</x:v>
      </x:c>
      <x:c r="G206" s="63" t="str">
        <x:v>Espacio limpio</x:v>
      </x:c>
      <x:c r="H206" s="57" t="str">
        <x:v>Alta</x:v>
      </x:c>
      <x:c r="I206" s="63" t="str">
        <x:v>Institucional</x:v>
      </x:c>
      <x:c r="J206" s="65" t="str">
        <x:v>Programado</x:v>
      </x:c>
    </x:row>
    <x:row r="207">
      <x:c r="A207" s="20" t="str">
        <x:v>2026-07-18</x:v>
      </x:c>
      <x:c r="B207" s="62" t="str">
        <x:v>15:00</x:v>
      </x:c>
      <x:c r="C207" s="63" t="str">
        <x:v>VGU</x:v>
      </x:c>
      <x:c r="D207" s="64" t="str">
        <x:v>CORREO</x:v>
      </x:c>
      <x:c r="E207" s="63" t="str">
        <x:v>Talleres Lucha Olímpica</x:v>
      </x:c>
      <x:c r="F207" s="63" t="str">
        <x:v>Lote 28</x:v>
      </x:c>
      <x:c r="G207" s="63" t="str">
        <x:v>Espacio limpio</x:v>
      </x:c>
      <x:c r="H207" s="57" t="str">
        <x:v>Alta</x:v>
      </x:c>
      <x:c r="I207" s="63" t="str">
        <x:v>Institucional</x:v>
      </x:c>
      <x:c r="J207" s="65" t="str">
        <x:v>Programado</x:v>
      </x:c>
    </x:row>
    <x:row r="208">
      <x:c r="A208" s="20" t="str">
        <x:v>2026-07-20</x:v>
      </x:c>
      <x:c r="B208" s="62" t="str">
        <x:v>08:00</x:v>
      </x:c>
      <x:c r="C208" s="63" t="str">
        <x:v>VGU</x:v>
      </x:c>
      <x:c r="D208" s="64" t="str">
        <x:v>CORREO</x:v>
      </x:c>
      <x:c r="E208" s="63" t="str">
        <x:v>Talleres Taekwondo</x:v>
      </x:c>
      <x:c r="F208" s="63" t="str">
        <x:v>Lote 28</x:v>
      </x:c>
      <x:c r="G208" s="63" t="str">
        <x:v>Espacio limpio</x:v>
      </x:c>
      <x:c r="H208" s="57" t="str">
        <x:v>Alta</x:v>
      </x:c>
      <x:c r="I208" s="63" t="str">
        <x:v>Institucional</x:v>
      </x:c>
      <x:c r="J208" s="65" t="str">
        <x:v>Programado</x:v>
      </x:c>
    </x:row>
    <x:row r="209">
      <x:c r="A209" s="20" t="str">
        <x:v>2026-07-20</x:v>
      </x:c>
      <x:c r="B209" s="62" t="str">
        <x:v>10:00</x:v>
      </x:c>
      <x:c r="C209" s="63" t="str">
        <x:v>VGU</x:v>
      </x:c>
      <x:c r="D209" s="64" t="str">
        <x:v>CORREO</x:v>
      </x:c>
      <x:c r="E209" s="63" t="str">
        <x:v>Selección Wushu Taolu</x:v>
      </x:c>
      <x:c r="F209" s="63" t="str">
        <x:v>Lote 28</x:v>
      </x:c>
      <x:c r="G209" s="63" t="str">
        <x:v>Espacio limpio</x:v>
      </x:c>
      <x:c r="H209" s="57" t="str">
        <x:v>Alta</x:v>
      </x:c>
      <x:c r="I209" s="63" t="str">
        <x:v>Institucional</x:v>
      </x:c>
      <x:c r="J209" s="65" t="str">
        <x:v>Programado</x:v>
      </x:c>
    </x:row>
    <x:row r="210">
      <x:c r="A210" s="20" t="str">
        <x:v>2026-07-20</x:v>
      </x:c>
      <x:c r="B210" s="62" t="str">
        <x:v>14:00</x:v>
      </x:c>
      <x:c r="C210" s="63" t="str">
        <x:v>VGU</x:v>
      </x:c>
      <x:c r="D210" s="64" t="str">
        <x:v>CORREO</x:v>
      </x:c>
      <x:c r="E210" s="63" t="str">
        <x:v>Talleres Wushu</x:v>
      </x:c>
      <x:c r="F210" s="63" t="str">
        <x:v>Lote 28</x:v>
      </x:c>
      <x:c r="G210" s="63" t="str">
        <x:v>Espacio limpio</x:v>
      </x:c>
      <x:c r="H210" s="57" t="str">
        <x:v>Alta</x:v>
      </x:c>
      <x:c r="I210" s="63" t="str">
        <x:v>Institucional</x:v>
      </x:c>
      <x:c r="J210" s="65" t="str">
        <x:v>Programado</x:v>
      </x:c>
    </x:row>
    <x:row r="211">
      <x:c r="A211" s="20" t="str">
        <x:v>2026-07-20</x:v>
      </x:c>
      <x:c r="B211" s="62" t="str">
        <x:v>17:00</x:v>
      </x:c>
      <x:c r="C211" s="63" t="str">
        <x:v>VGU</x:v>
      </x:c>
      <x:c r="D211" s="64" t="str">
        <x:v>CORREO</x:v>
      </x:c>
      <x:c r="E211" s="63" t="str">
        <x:v>Selección Tenis de Mesa</x:v>
      </x:c>
      <x:c r="F211" s="63" t="str">
        <x:v>Lote 28</x:v>
      </x:c>
      <x:c r="G211" s="63" t="str">
        <x:v>Espacio limpio</x:v>
      </x:c>
      <x:c r="H211" s="57" t="str">
        <x:v>Alta</x:v>
      </x:c>
      <x:c r="I211" s="63" t="str">
        <x:v>Institucional</x:v>
      </x:c>
      <x:c r="J211" s="65" t="str">
        <x:v>Programado</x:v>
      </x:c>
    </x:row>
    <x:row r="212">
      <x:c r="A212" s="20" t="str">
        <x:v>2026-07-21</x:v>
      </x:c>
      <x:c r="B212" s="62" t="str">
        <x:v>10:00</x:v>
      </x:c>
      <x:c r="C212" s="63" t="str">
        <x:v>VGU</x:v>
      </x:c>
      <x:c r="D212" s="64" t="str">
        <x:v>CORREO</x:v>
      </x:c>
      <x:c r="E212" s="63" t="str">
        <x:v>Selección Wushu Sanda</x:v>
      </x:c>
      <x:c r="F212" s="63" t="str">
        <x:v>Lote 28</x:v>
      </x:c>
      <x:c r="G212" s="63" t="str">
        <x:v>Espacio limpio</x:v>
      </x:c>
      <x:c r="H212" s="57" t="str">
        <x:v>Alta</x:v>
      </x:c>
      <x:c r="I212" s="63" t="str">
        <x:v>Institucional</x:v>
      </x:c>
      <x:c r="J212" s="65" t="str">
        <x:v>Programado</x:v>
      </x:c>
    </x:row>
    <x:row r="213">
      <x:c r="A213" s="20" t="str">
        <x:v>2026-07-22</x:v>
      </x:c>
      <x:c r="B213" s="62" t="str">
        <x:v>10:00</x:v>
      </x:c>
      <x:c r="C213" s="63" t="str">
        <x:v>VGU</x:v>
      </x:c>
      <x:c r="D213" s="64" t="str">
        <x:v>CORREO</x:v>
      </x:c>
      <x:c r="E213" s="63" t="str">
        <x:v>Selección Wushu Taolu</x:v>
      </x:c>
      <x:c r="F213" s="63" t="str">
        <x:v>Lote 28</x:v>
      </x:c>
      <x:c r="G213" s="63" t="str">
        <x:v>Espacio limpio</x:v>
      </x:c>
      <x:c r="H213" s="57" t="str">
        <x:v>Alta</x:v>
      </x:c>
      <x:c r="I213" s="63" t="str">
        <x:v>Institucional</x:v>
      </x:c>
      <x:c r="J213" s="65" t="str">
        <x:v>Programado</x:v>
      </x:c>
    </x:row>
    <x:row r="214">
      <x:c r="A214" s="20" t="str">
        <x:v>2026-07-22</x:v>
      </x:c>
      <x:c r="B214" s="62" t="str">
        <x:v>17:00</x:v>
      </x:c>
      <x:c r="C214" s="63" t="str">
        <x:v>VGU</x:v>
      </x:c>
      <x:c r="D214" s="64" t="str">
        <x:v>CORREO</x:v>
      </x:c>
      <x:c r="E214" s="63" t="str">
        <x:v>Selección Tenis de Mesa</x:v>
      </x:c>
      <x:c r="F214" s="63" t="str">
        <x:v>Lote 28</x:v>
      </x:c>
      <x:c r="G214" s="63" t="str">
        <x:v>Espacio limpio</x:v>
      </x:c>
      <x:c r="H214" s="57" t="str">
        <x:v>Alta</x:v>
      </x:c>
      <x:c r="I214" s="63" t="str">
        <x:v>Institucional</x:v>
      </x:c>
      <x:c r="J214" s="65" t="str">
        <x:v>Programado</x:v>
      </x:c>
    </x:row>
    <x:row r="215">
      <x:c r="A215" s="20" t="str">
        <x:v>2026-07-23</x:v>
      </x:c>
      <x:c r="B215" s="62" t="str">
        <x:v>10:00</x:v>
      </x:c>
      <x:c r="C215" s="63" t="str">
        <x:v>VGU</x:v>
      </x:c>
      <x:c r="D215" s="64" t="str">
        <x:v>CORREO</x:v>
      </x:c>
      <x:c r="E215" s="63" t="str">
        <x:v>Selección Wushu Sanda</x:v>
      </x:c>
      <x:c r="F215" s="63" t="str">
        <x:v>Lote 28</x:v>
      </x:c>
      <x:c r="G215" s="63" t="str">
        <x:v>Espacio limpio</x:v>
      </x:c>
      <x:c r="H215" s="57" t="str">
        <x:v>Alta</x:v>
      </x:c>
      <x:c r="I215" s="63" t="str">
        <x:v>Institucional</x:v>
      </x:c>
      <x:c r="J215" s="65" t="str">
        <x:v>Programado</x:v>
      </x:c>
    </x:row>
    <x:row r="216">
      <x:c r="A216" s="20" t="str">
        <x:v>2026-07-24</x:v>
      </x:c>
      <x:c r="B216" s="62" t="str">
        <x:v>10:00</x:v>
      </x:c>
      <x:c r="C216" s="63" t="str">
        <x:v>VGU</x:v>
      </x:c>
      <x:c r="D216" s="64" t="str">
        <x:v>CORREO</x:v>
      </x:c>
      <x:c r="E216" s="63" t="str">
        <x:v>Selección Wushu Taolu</x:v>
      </x:c>
      <x:c r="F216" s="63" t="str">
        <x:v>Lote 28</x:v>
      </x:c>
      <x:c r="G216" s="63" t="str">
        <x:v>Espacio limpio</x:v>
      </x:c>
      <x:c r="H216" s="57" t="str">
        <x:v>Alta</x:v>
      </x:c>
      <x:c r="I216" s="63" t="str">
        <x:v>Institucional</x:v>
      </x:c>
      <x:c r="J216" s="65" t="str">
        <x:v>Programado</x:v>
      </x:c>
    </x:row>
    <x:row r="217">
      <x:c r="A217" s="20" t="str">
        <x:v>2026-07-25</x:v>
      </x:c>
      <x:c r="B217" s="62" t="str">
        <x:v>08:00</x:v>
      </x:c>
      <x:c r="C217" s="63" t="str">
        <x:v>VGU</x:v>
      </x:c>
      <x:c r="D217" s="64" t="str">
        <x:v>CORREO</x:v>
      </x:c>
      <x:c r="E217" s="63" t="str">
        <x:v>Talleres Tenis de Mesa</x:v>
      </x:c>
      <x:c r="F217" s="63" t="str">
        <x:v>Lote 28</x:v>
      </x:c>
      <x:c r="G217" s="63" t="str">
        <x:v>Espacio limpio</x:v>
      </x:c>
      <x:c r="H217" s="57" t="str">
        <x:v>Alta</x:v>
      </x:c>
      <x:c r="I217" s="63" t="str">
        <x:v>Institucional</x:v>
      </x:c>
      <x:c r="J217" s="65" t="str">
        <x:v>Programado</x:v>
      </x:c>
    </x:row>
    <x:row r="218">
      <x:c r="A218" s="20" t="str">
        <x:v>2026-07-25</x:v>
      </x:c>
      <x:c r="B218" s="62" t="str">
        <x:v>10:00</x:v>
      </x:c>
      <x:c r="C218" s="63" t="str">
        <x:v>VGU</x:v>
      </x:c>
      <x:c r="D218" s="64" t="str">
        <x:v>CORREO</x:v>
      </x:c>
      <x:c r="E218" s="63" t="str">
        <x:v>Selección Wushu Sanda</x:v>
      </x:c>
      <x:c r="F218" s="63" t="str">
        <x:v>Lote 28</x:v>
      </x:c>
      <x:c r="G218" s="63" t="str">
        <x:v>Espacio limpio</x:v>
      </x:c>
      <x:c r="H218" s="57" t="str">
        <x:v>Alta</x:v>
      </x:c>
      <x:c r="I218" s="63" t="str">
        <x:v>Institucional</x:v>
      </x:c>
      <x:c r="J218" s="65" t="str">
        <x:v>Programado</x:v>
      </x:c>
    </x:row>
    <x:row r="219">
      <x:c r="A219" s="20" t="str">
        <x:v>2026-07-25</x:v>
      </x:c>
      <x:c r="B219" s="62" t="str">
        <x:v>13:00</x:v>
      </x:c>
      <x:c r="C219" s="63" t="str">
        <x:v>VGU</x:v>
      </x:c>
      <x:c r="D219" s="64" t="str">
        <x:v>CORREO</x:v>
      </x:c>
      <x:c r="E219" s="63" t="str">
        <x:v>Talleres Karate</x:v>
      </x:c>
      <x:c r="F219" s="63" t="str">
        <x:v>Lote 28</x:v>
      </x:c>
      <x:c r="G219" s="63" t="str">
        <x:v>Espacio limpio</x:v>
      </x:c>
      <x:c r="H219" s="57" t="str">
        <x:v>Alta</x:v>
      </x:c>
      <x:c r="I219" s="63" t="str">
        <x:v>Institucional</x:v>
      </x:c>
      <x:c r="J219" s="65" t="str">
        <x:v>Programado</x:v>
      </x:c>
    </x:row>
    <x:row r="220">
      <x:c r="A220" s="20" t="str">
        <x:v>2026-07-25</x:v>
      </x:c>
      <x:c r="B220" s="62" t="str">
        <x:v>15:00</x:v>
      </x:c>
      <x:c r="C220" s="63" t="str">
        <x:v>VGU</x:v>
      </x:c>
      <x:c r="D220" s="64" t="str">
        <x:v>CORREO</x:v>
      </x:c>
      <x:c r="E220" s="63" t="str">
        <x:v>Talleres Lucha Olímpica</x:v>
      </x:c>
      <x:c r="F220" s="63" t="str">
        <x:v>Lote 28</x:v>
      </x:c>
      <x:c r="G220" s="63" t="str">
        <x:v>Espacio limpio</x:v>
      </x:c>
      <x:c r="H220" s="57" t="str">
        <x:v>Alta</x:v>
      </x:c>
      <x:c r="I220" s="63" t="str">
        <x:v>Institucional</x:v>
      </x:c>
      <x:c r="J220" s="65" t="str">
        <x:v>Programado</x:v>
      </x:c>
    </x:row>
    <x:row r="221">
      <x:c r="A221" s="20" t="str">
        <x:v>2026-07-27</x:v>
      </x:c>
      <x:c r="B221" s="62" t="str">
        <x:v>08:00</x:v>
      </x:c>
      <x:c r="C221" s="63" t="str">
        <x:v>VGU</x:v>
      </x:c>
      <x:c r="D221" s="64" t="str">
        <x:v>CORREO</x:v>
      </x:c>
      <x:c r="E221" s="63" t="str">
        <x:v>Talleres Taekwondo</x:v>
      </x:c>
      <x:c r="F221" s="63" t="str">
        <x:v>Lote 28</x:v>
      </x:c>
      <x:c r="G221" s="63" t="str">
        <x:v>Espacio limpio</x:v>
      </x:c>
      <x:c r="H221" s="57" t="str">
        <x:v>Alta</x:v>
      </x:c>
      <x:c r="I221" s="63" t="str">
        <x:v>Institucional</x:v>
      </x:c>
      <x:c r="J221" s="65" t="str">
        <x:v>Programado</x:v>
      </x:c>
    </x:row>
    <x:row r="222">
      <x:c r="A222" s="20" t="str">
        <x:v>2026-07-27</x:v>
      </x:c>
      <x:c r="B222" s="62" t="str">
        <x:v>10:00</x:v>
      </x:c>
      <x:c r="C222" s="63" t="str">
        <x:v>VGU</x:v>
      </x:c>
      <x:c r="D222" s="64" t="str">
        <x:v>CORREO</x:v>
      </x:c>
      <x:c r="E222" s="63" t="str">
        <x:v>Selección Wushu Taolu</x:v>
      </x:c>
      <x:c r="F222" s="63" t="str">
        <x:v>Lote 28</x:v>
      </x:c>
      <x:c r="G222" s="63" t="str">
        <x:v>Espacio limpio</x:v>
      </x:c>
      <x:c r="H222" s="57" t="str">
        <x:v>Alta</x:v>
      </x:c>
      <x:c r="I222" s="63" t="str">
        <x:v>Institucional</x:v>
      </x:c>
      <x:c r="J222" s="65" t="str">
        <x:v>Programado</x:v>
      </x:c>
    </x:row>
    <x:row r="223">
      <x:c r="A223" s="20" t="str">
        <x:v>2026-07-27</x:v>
      </x:c>
      <x:c r="B223" s="62" t="str">
        <x:v>14:00</x:v>
      </x:c>
      <x:c r="C223" s="63" t="str">
        <x:v>VGU</x:v>
      </x:c>
      <x:c r="D223" s="64" t="str">
        <x:v>CORREO</x:v>
      </x:c>
      <x:c r="E223" s="63" t="str">
        <x:v>Talleres Wushu</x:v>
      </x:c>
      <x:c r="F223" s="63" t="str">
        <x:v>Lote 28</x:v>
      </x:c>
      <x:c r="G223" s="63" t="str">
        <x:v>Espacio limpio</x:v>
      </x:c>
      <x:c r="H223" s="57" t="str">
        <x:v>Alta</x:v>
      </x:c>
      <x:c r="I223" s="63" t="str">
        <x:v>Institucional</x:v>
      </x:c>
      <x:c r="J223" s="65" t="str">
        <x:v>Programado</x:v>
      </x:c>
    </x:row>
    <x:row r="224">
      <x:c r="A224" s="20" t="str">
        <x:v>2026-07-27</x:v>
      </x:c>
      <x:c r="B224" s="62" t="str">
        <x:v>17:00</x:v>
      </x:c>
      <x:c r="C224" s="63" t="str">
        <x:v>VGU</x:v>
      </x:c>
      <x:c r="D224" s="64" t="str">
        <x:v>CORREO</x:v>
      </x:c>
      <x:c r="E224" s="63" t="str">
        <x:v>Selección Tenis de Mesa</x:v>
      </x:c>
      <x:c r="F224" s="63" t="str">
        <x:v>Lote 28</x:v>
      </x:c>
      <x:c r="G224" s="63" t="str">
        <x:v>Espacio limpio</x:v>
      </x:c>
      <x:c r="H224" s="57" t="str">
        <x:v>Alta</x:v>
      </x:c>
      <x:c r="I224" s="63" t="str">
        <x:v>Institucional</x:v>
      </x:c>
      <x:c r="J224" s="65" t="str">
        <x:v>Programado</x:v>
      </x:c>
    </x:row>
    <x:row r="225">
      <x:c r="A225" s="20" t="str">
        <x:v>2026-07-28</x:v>
      </x:c>
      <x:c r="B225" s="62" t="str">
        <x:v>10:00</x:v>
      </x:c>
      <x:c r="C225" s="63" t="str">
        <x:v>VGU</x:v>
      </x:c>
      <x:c r="D225" s="64" t="str">
        <x:v>CORREO</x:v>
      </x:c>
      <x:c r="E225" s="63" t="str">
        <x:v>Selección Wushu Sanda</x:v>
      </x:c>
      <x:c r="F225" s="63" t="str">
        <x:v>Lote 28</x:v>
      </x:c>
      <x:c r="G225" s="63" t="str">
        <x:v>Espacio limpio</x:v>
      </x:c>
      <x:c r="H225" s="57" t="str">
        <x:v>Alta</x:v>
      </x:c>
      <x:c r="I225" s="63" t="str">
        <x:v>Institucional</x:v>
      </x:c>
      <x:c r="J225" s="65" t="str">
        <x:v>Programado</x:v>
      </x:c>
    </x:row>
    <x:row r="226">
      <x:c r="A226" s="20" t="str">
        <x:v>2026-07-29</x:v>
      </x:c>
      <x:c r="B226" s="62" t="str">
        <x:v>10:00</x:v>
      </x:c>
      <x:c r="C226" s="63" t="str">
        <x:v>VGU</x:v>
      </x:c>
      <x:c r="D226" s="64" t="str">
        <x:v>CORREO</x:v>
      </x:c>
      <x:c r="E226" s="63" t="str">
        <x:v>Selección Wushu Taolu</x:v>
      </x:c>
      <x:c r="F226" s="63" t="str">
        <x:v>Lote 28</x:v>
      </x:c>
      <x:c r="G226" s="63" t="str">
        <x:v>Espacio limpio</x:v>
      </x:c>
      <x:c r="H226" s="57" t="str">
        <x:v>Alta</x:v>
      </x:c>
      <x:c r="I226" s="63" t="str">
        <x:v>Institucional</x:v>
      </x:c>
      <x:c r="J226" s="65" t="str">
        <x:v>Programado</x:v>
      </x:c>
    </x:row>
    <x:row r="227">
      <x:c r="A227" s="20" t="str">
        <x:v>2026-07-29</x:v>
      </x:c>
      <x:c r="B227" s="62" t="str">
        <x:v>17:00</x:v>
      </x:c>
      <x:c r="C227" s="63" t="str">
        <x:v>VGU</x:v>
      </x:c>
      <x:c r="D227" s="64" t="str">
        <x:v>CORREO</x:v>
      </x:c>
      <x:c r="E227" s="63" t="str">
        <x:v>Selección Tenis de Mesa</x:v>
      </x:c>
      <x:c r="F227" s="63" t="str">
        <x:v>Lote 28</x:v>
      </x:c>
      <x:c r="G227" s="63" t="str">
        <x:v>Espacio limpio</x:v>
      </x:c>
      <x:c r="H227" s="57" t="str">
        <x:v>Alta</x:v>
      </x:c>
      <x:c r="I227" s="63" t="str">
        <x:v>Institucional</x:v>
      </x:c>
      <x:c r="J227" s="65" t="str">
        <x:v>Programado</x:v>
      </x:c>
    </x:row>
    <x:row r="228">
      <x:c r="A228" s="20" t="str">
        <x:v>2026-07-30</x:v>
      </x:c>
      <x:c r="B228" s="62" t="str">
        <x:v>10:00</x:v>
      </x:c>
      <x:c r="C228" s="63" t="str">
        <x:v>VGU</x:v>
      </x:c>
      <x:c r="D228" s="64" t="str">
        <x:v>CORREO</x:v>
      </x:c>
      <x:c r="E228" s="63" t="str">
        <x:v>Selección Wushu Sanda</x:v>
      </x:c>
      <x:c r="F228" s="63" t="str">
        <x:v>Lote 28</x:v>
      </x:c>
      <x:c r="G228" s="63" t="str">
        <x:v>Espacio limpio</x:v>
      </x:c>
      <x:c r="H228" s="57" t="str">
        <x:v>Alta</x:v>
      </x:c>
      <x:c r="I228" s="63" t="str">
        <x:v>Institucional</x:v>
      </x:c>
      <x:c r="J228" s="65" t="str">
        <x:v>Programado</x:v>
      </x:c>
    </x:row>
    <x:row r="229">
      <x:c r="A229" s="20" t="str">
        <x:v>2026-07-31</x:v>
      </x:c>
      <x:c r="B229" s="62" t="str">
        <x:v>10:00</x:v>
      </x:c>
      <x:c r="C229" s="63" t="str">
        <x:v>VGU</x:v>
      </x:c>
      <x:c r="D229" s="64" t="str">
        <x:v>CORREO</x:v>
      </x:c>
      <x:c r="E229" s="63" t="str">
        <x:v>Selección Wushu Taolu</x:v>
      </x:c>
      <x:c r="F229" s="63" t="str">
        <x:v>Lote 28</x:v>
      </x:c>
      <x:c r="G229" s="63" t="str">
        <x:v>Espacio limpio</x:v>
      </x:c>
      <x:c r="H229" s="57" t="str">
        <x:v>Alta</x:v>
      </x:c>
      <x:c r="I229" s="63" t="str">
        <x:v>Institucional</x:v>
      </x:c>
      <x:c r="J229" s="65" t="str">
        <x:v>Programado</x:v>
      </x:c>
    </x:row>
    <x:row r="230" ht="42.75">
      <x:c r="A230" s="20" t="str">
        <x:v>2026-06-17</x:v>
      </x:c>
      <x:c r="B230" s="62" t="str">
        <x:v>07:00</x:v>
      </x:c>
      <x:c r="C230" s="63" t="str">
        <x:v>AREA DE MARKETING</x:v>
      </x:c>
      <x:c r="D230" s="64" t="str">
        <x:v>9784</x:v>
      </x:c>
      <x:c r="E230" s="63" t="str">
        <x:v>Ceremonia Oficial de Reconocimiento de la carrera de Estomatología</x:v>
      </x:c>
      <x:c r="F230" s="63" t="str">
        <x:v>Terraza, hall y sala de estudios 3er piso</x:v>
      </x:c>
      <x:c r="G230" s="63" t="str">
        <x:v>Auditorio Pabellón O /Habilitar 90 sillas en auditorio. Prioridad sillas blancas, grises y verde claro adelante, alineadas./nstalar podio Bandera y tótem en escenario/Asegurar el funcionamiento del Aire acondicionado/
Colocar 1 mesa de registro vestida en ingreso con punto de luz y 3 sillas  /Pabellón O 3er piso/Liberar mobiliario total de hall, terraza y sala de estudios. Solo se mantendrán las mesas blancas empotradas de la Sala de estudios ya que ahí colocaremos el catering./Colocar enfiladores para cerrar el pase en sala de estudios y Terraza /Limpieza de ambos espacios.</x:v>
      </x:c>
      <x:c r="H230" s="57" t="str">
        <x:v>Alta</x:v>
      </x:c>
      <x:c r="I230" s="63" t="str">
        <x:v>Institucional</x:v>
      </x:c>
      <x:c r="J230" s="65" t="str">
        <x:v>Programado</x:v>
      </x:c>
      <x:c r="L230" s="18"/>
    </x:row>
    <x:row r="231" ht="57">
      <x:c r="A231" s="20" t="str">
        <x:v>2026-06-16</x:v>
      </x:c>
      <x:c r="B231" s="62" t="str">
        <x:v>08:00</x:v>
      </x:c>
      <x:c r="C231" s="63" t="str">
        <x:v>AREA  TOPICO </x:v>
      </x:c>
      <x:c r="D231" s="64" t="str">
        <x:v>CORREO</x:v>
      </x:c>
      <x:c r="E231" s="63" t="str">
        <x:v>Campaña de vacunacion </x:v>
      </x:c>
      <x:c r="F231" s="63" t="str">
        <x:v>Jardin frente al N </x:v>
      </x:c>
      <x:c r="G231" s="63" t="str">
        <x:v>Requererimientos : 2 toldos  / 3 mesas / 10 sillas </x:v>
      </x:c>
      <x:c r="H231" s="57" t="str">
        <x:v>Alta</x:v>
      </x:c>
      <x:c r="I231" s="63" t="str">
        <x:v>Institucional</x:v>
      </x:c>
      <x:c r="J231" s="65" t="str">
        <x:v>Programado</x:v>
      </x:c>
    </x:row>
    <x:row r="232">
      <x:c r="A232" s="20" t="str">
        <x:v>2026-06-17</x:v>
      </x:c>
      <x:c r="B232" s="62" t="str">
        <x:v>07:00</x:v>
      </x:c>
      <x:c r="C232" s="63" t="str">
        <x:v>AREA GDT</x:v>
      </x:c>
      <x:c r="D232" s="64" t="str">
        <x:v>81907</x:v>
      </x:c>
      <x:c r="E232" s="63" t="str">
        <x:v>Evento dia del Padre </x:v>
      </x:c>
      <x:c r="F232" s="63" t="str">
        <x:v>Auditorio Pabellón O</x:v>
      </x:c>
      <x:c r="G232" s="63" t="str">
        <x:v>Requererimientos :Punto de luz. / Zona de trivia: Auditorio / 4 mesas. / unto de luz.</x:v>
      </x:c>
      <x:c r="H232" s="57" t="str">
        <x:v>Alta</x:v>
      </x:c>
      <x:c r="I232" s="63" t="str">
        <x:v>Institucional</x:v>
      </x:c>
      <x:c r="J232" s="65" t="str">
        <x:v>Programado</x:v>
      </x:c>
    </x:row>
    <x:row r="233">
      <x:c r="A233" s="20" t="str">
        <x:v>2026-06-22</x:v>
      </x:c>
      <x:c r="B233" s="62" t="str">
        <x:v>17:00</x:v>
      </x:c>
      <x:c r="C233" s="63" t="str">
        <x:v>VGU</x:v>
      </x:c>
      <x:c r="D233" s="64" t="str">
        <x:v>9846</x:v>
      </x:c>
      <x:c r="E233" s="63" t="str">
        <x:v>Ensayo  elenco de danzas</x:v>
      </x:c>
      <x:c r="F233" s="63" t="str">
        <x:v>Auditorio pabellon O</x:v>
      </x:c>
      <x:c r="G233" s="63" t="str">
        <x:v>Retirar el mobiliario y que el espacio esté limpio</x:v>
      </x:c>
      <x:c r="H233" s="57" t="str">
        <x:v>Alta</x:v>
      </x:c>
      <x:c r="I233" s="63" t="str">
        <x:v>Institucional</x:v>
      </x:c>
      <x:c r="J233" s="65" t="str">
        <x:v>Programado</x:v>
      </x:c>
    </x:row>
    <x:row r="234">
      <x:c r="A234" s="20" t="str">
        <x:v>2026-06-24</x:v>
      </x:c>
      <x:c r="B234" s="62" t="str">
        <x:v>11:00</x:v>
      </x:c>
      <x:c r="C234" s="63" t="str">
        <x:v>FACULTAD DE INGENERIA </x:v>
      </x:c>
      <x:c r="D234" s="64" t="str">
        <x:v>9850</x:v>
      </x:c>
      <x:c r="E234" s="63" t="str">
        <x:v>Bienvenida de Cachimbos 2026-2</x:v>
      </x:c>
      <x:c r="F234" s="63" t="str">
        <x:v>Auditorio pabellon O</x:v>
      </x:c>
      <x:c r="G234" s="63" t="str">
        <x:v>3 micrófonos inalámbricos con baterías/pilas cargadas / 2 sillones para el estrado / 1 mesa con mantel para la recepción de participantes /Asistencia técnica durante el evento.</x:v>
      </x:c>
      <x:c r="H234" s="57" t="str">
        <x:v>Alta</x:v>
      </x:c>
      <x:c r="I234" s="63" t="str">
        <x:v>Institucional</x:v>
      </x:c>
      <x:c r="J234" s="65" t="str">
        <x:v>Programado</x:v>
      </x:c>
    </x:row>
    <x:row r="235" ht="28.5">
      <x:c r="A235" s="20" t="str">
        <x:v>2026-09-02</x:v>
      </x:c>
      <x:c r="B235" s="62" t="str">
        <x:v>14:30</x:v>
      </x:c>
      <x:c r="C235" s="63" t="str">
        <x:v>FACULTAD DE INGENERIA </x:v>
      </x:c>
      <x:c r="D235" s="64" t="str">
        <x:v>9847</x:v>
      </x:c>
      <x:c r="E235" s="63" t="str">
        <x:v>Cinergia - Taller Innovación y diseño de soluciones</x:v>
      </x:c>
      <x:c r="F235" s="63" t="str">
        <x:v>Auditorio pabellon O</x:v>
      </x:c>
      <x:c r="G235" s="63" t="str">
        <x:v>2 micrófonos inalámbricos con baterías/pilas cargadas / 2 sillones para el estrado / 1 mesa con mantel para la recepción de participantes /Asistencia técnica durante el evento.</x:v>
      </x:c>
      <x:c r="H235" s="57" t="str">
        <x:v>Alta</x:v>
      </x:c>
      <x:c r="I235" s="63" t="str">
        <x:v>Institucional</x:v>
      </x:c>
      <x:c r="J235" s="65" t="str">
        <x:v>Programado</x:v>
      </x:c>
    </x:row>
    <x:row r="236" ht="28.5">
      <x:c r="A236" s="20" t="str">
        <x:v>2026-09-11</x:v>
      </x:c>
      <x:c r="B236" s="62" t="str">
        <x:v>14:00</x:v>
      </x:c>
      <x:c r="C236" s="63" t="str">
        <x:v>FACULTAD DE INGENERIA </x:v>
      </x:c>
      <x:c r="D236" s="64" t="str">
        <x:v>9849</x:v>
      </x:c>
      <x:c r="E236" s="63" t="str">
        <x:v>Cinergia Bootcamp</x:v>
      </x:c>
      <x:c r="F236" s="63" t="str">
        <x:v>Auditorio pabellon O</x:v>
      </x:c>
      <x:c r="G236" s="63" t="str">
        <x:v>4 micrófonos inalámbricos con baterías / pilas cargadas /  1 mesa con mantel para la recepción de participantes /  Asistencia técnica durante el evento.</x:v>
      </x:c>
      <x:c r="H236" s="57" t="str">
        <x:v>Alta</x:v>
      </x:c>
      <x:c r="I236" s="63" t="str">
        <x:v>Institucional</x:v>
      </x:c>
      <x:c r="J236" s="65" t="str">
        <x:v>Programado</x:v>
      </x:c>
    </x:row>
    <x:row r="237" ht="28.5">
      <x:c r="A237" s="20" t="str">
        <x:v>2026-10-02</x:v>
      </x:c>
      <x:c r="B237" s="62" t="str">
        <x:v>14:30</x:v>
      </x:c>
      <x:c r="C237" s="63" t="str">
        <x:v>FACULTAD DE INGENERIA </x:v>
      </x:c>
      <x:c r="D237" s="64" t="str">
        <x:v>9848</x:v>
      </x:c>
      <x:c r="E237" s="63" t="str">
        <x:v>Cinergia Talks</x:v>
      </x:c>
      <x:c r="F237" s="63" t="str">
        <x:v>Auditorio pabellon O</x:v>
      </x:c>
      <x:c r="G237" s="63" t="str">
        <x:v>2 micrófonos inalámbricos con baterías / pilas cargadas /  1 mesa con mantel para la recepción de participantes / Asistencia técnica durante el evento</x:v>
      </x:c>
      <x:c r="H237" s="57" t="str">
        <x:v>Alta</x:v>
      </x:c>
      <x:c r="I237" s="63" t="str">
        <x:v>Institucional</x:v>
      </x:c>
      <x:c r="J237" s="65" t="str">
        <x:v>Programado</x:v>
      </x:c>
    </x:row>
    <x:row r="238" ht="28.5">
      <x:c r="A238" s="20" t="str">
        <x:v>2026-10-02</x:v>
      </x:c>
      <x:c r="B238" s="62" t="str">
        <x:v>no indica hora</x:v>
      </x:c>
      <x:c r="C238" s="63" t="str">
        <x:v>FACULTAD DE INGENERIA </x:v>
      </x:c>
      <x:c r="D238" s="64" t="str">
        <x:v>9840</x:v>
      </x:c>
      <x:c r="E238" s="63" t="str">
        <x:v>Administración de Empresas</x:v>
      </x:c>
      <x:c r="F238" s="63" t="str">
        <x:v>Auditorio pabellon O</x:v>
      </x:c>
      <x:c r="G238" s="63" t="str">
        <x:v>50 sillas / Cuatro (4) mesas (2 en la parte externa del auditorio para recepción y coffee break y 2 a la interna para una dinámica) /  Cuatro (4) sillas de conversatorio para ponentes / Una (1) mesa de centro para poner las aguas de los ponentes.</x:v>
      </x:c>
      <x:c r="H238" s="57" t="str">
        <x:v>Alta</x:v>
      </x:c>
      <x:c r="I238" s="63" t="str">
        <x:v>Institucional</x:v>
      </x:c>
      <x:c r="J238" s="65" t="str">
        <x:v>Programado</x:v>
      </x:c>
      <x:c r="L238" s="18"/>
    </x:row>
    <x:row r="239" s="7" customFormat="1" ht="42.75">
      <x:c r="A239" s="20" t="str">
        <x:v>2026-06-18</x:v>
      </x:c>
      <x:c r="B239" s="62" t="str">
        <x:v>08:00</x:v>
      </x:c>
      <x:c r="C239" s="63" t="str">
        <x:v>VICERRECTORADO DE GESTION ACADEMICA</x:v>
      </x:c>
      <x:c r="D239" s="64" t="str">
        <x:v>9851</x:v>
      </x:c>
      <x:c r="E239" s="63" t="str">
        <x:v>reunión QS Latam 2026</x:v>
      </x:c>
      <x:c r="F239" s="63" t="str">
        <x:v>Auditorio pabellon O</x:v>
      </x:c>
      <x:c r="G239" s="63" t="str">
        <x:v>45 sillas / 2 mesas con mantel afuera del auditorio para Coffee break / 1 Pizarra / Podio / Bandera de Científica / Aire acondicionado funcionando correctamente / 1 persona de apoyo por si hay algún requerimiento adicional</x:v>
      </x:c>
      <x:c r="H239" s="60" t="str">
        <x:v>Alta</x:v>
      </x:c>
      <x:c r="I239" s="63" t="str">
        <x:v>Institucional</x:v>
      </x:c>
      <x:c r="J239" s="65" t="str">
        <x:v>Programado</x:v>
      </x:c>
    </x:row>
    <x:row r="240" s="7" customFormat="1" ht="42.75">
      <x:c r="A240" s="20" t="str">
        <x:v>2026-06-25</x:v>
      </x:c>
      <x:c r="B240" s="62" t="str">
        <x:v>10:00</x:v>
      </x:c>
      <x:c r="C240" s="63" t="str">
        <x:v>AREA DE EMPLEABILIDAD </x:v>
      </x:c>
      <x:c r="D240" s="64" t="str">
        <x:v>MENSAJE </x:v>
      </x:c>
      <x:c r="E240" s="63" t="str">
        <x:v>Doble Grado Fest</x:v>
      </x:c>
      <x:c r="F240" s="63" t="str">
        <x:v>Jardin Pabellon N</x:v>
      </x:c>
      <x:c r="G240" s="63" t="str">
        <x:v>No indica</x:v>
      </x:c>
      <x:c r="H240" s="60" t="str">
        <x:v>Alta</x:v>
      </x:c>
      <x:c r="I240" s="63" t="str">
        <x:v>Institucional</x:v>
      </x:c>
      <x:c r="J240" s="65" t="str">
        <x:v>Programado</x:v>
      </x:c>
    </x:row>
    <x:row r="241">
      <x:c r="A241" s="20" t="str">
        <x:v>2026-06-19</x:v>
      </x:c>
      <x:c r="B241" s="62" t="str">
        <x:v>15:00</x:v>
      </x:c>
      <x:c r="C241" s="63" t="str">
        <x:v>AREA DE EMPLEABILIDAD </x:v>
      </x:c>
      <x:c r="D241" s="64" t="str">
        <x:v>9861</x:v>
      </x:c>
      <x:c r="E241" s="63" t="str">
        <x:v>Evento Zofratacna</x:v>
      </x:c>
      <x:c r="F241" s="63" t="str">
        <x:v>Auditorio pabellon L - 204</x:v>
      </x:c>
      <x:c r="G241" s="63" t="str">
        <x:v>1 mesa / 2 sillas / mantel / 4 sillones / 2 mesas para el coffee break con mantel / 60 sillas</x:v>
      </x:c>
      <x:c r="H241" s="57" t="str">
        <x:v>Alta</x:v>
      </x:c>
      <x:c r="I241" s="63" t="str">
        <x:v>Institucional</x:v>
      </x:c>
      <x:c r="J241" s="65" t="str">
        <x:v>Programado</x:v>
      </x:c>
    </x:row>
    <x:row r="242">
      <x:c r="A242" s="20" t="str">
        <x:v>2026-06-26</x:v>
      </x:c>
      <x:c r="B242" s="62" t="str">
        <x:v>07:00</x:v>
      </x:c>
      <x:c r="C242" s="63" t="str">
        <x:v>FACULTAD DE OBSTETRICIA</x:v>
      </x:c>
      <x:c r="D242" s="64" t="str">
        <x:v>CORREO</x:v>
      </x:c>
      <x:c r="E242" s="63" t="str">
        <x:v>Jornada Cientifica Obstetricia</x:v>
      </x:c>
      <x:c r="F242" s="63" t="str">
        <x:v>Auditorio pabellon L - 204</x:v>
      </x:c>
      <x:c r="G242" s="63" t="str">
        <x:v>Atril / banderas /80 sillas/1 Mesa de Centro/4 butacas/1 Mesa de recepción/3 sillas/1 Mantel</x:v>
      </x:c>
      <x:c r="H242" s="57" t="str">
        <x:v>Alta</x:v>
      </x:c>
      <x:c r="I242" s="63" t="str">
        <x:v>Institucional</x:v>
      </x:c>
      <x:c r="J242" s="65" t="str">
        <x:v>Programado</x:v>
      </x:c>
    </x:row>
    <x:row r="243">
      <x:c r="A243" s="20" t="str">
        <x:v>2026-06-26</x:v>
      </x:c>
      <x:c r="B243" s="62" t="str">
        <x:v>14:30</x:v>
      </x:c>
      <x:c r="C243" s="63" t="str">
        <x:v>AREA DE GDT</x:v>
      </x:c>
      <x:c r="D243" s="64" t="str">
        <x:v>9884</x:v>
      </x:c>
      <x:c r="E243" s="63" t="str">
        <x:v>Solicitud de soporte  Cumpleaños Villa 2 </x:v>
      </x:c>
      <x:c r="F243" s="63" t="str">
        <x:v>Auditorio pabellon O</x:v>
      </x:c>
      <x:c r="G243" s="63" t="str">
        <x:v>50 sillas / 4 mesas / punto de luz</x:v>
      </x:c>
      <x:c r="H243" s="57" t="str">
        <x:v>Alta</x:v>
      </x:c>
      <x:c r="I243" s="63" t="str">
        <x:v>Institucional</x:v>
      </x:c>
      <x:c r="J243" s="65" t="str">
        <x:v>Programado</x:v>
      </x:c>
    </x:row>
    <x:row r="244">
      <x:c r="A244" s="20" t="str">
        <x:v>2026-07-05</x:v>
      </x:c>
      <x:c r="B244" s="62" t="str">
        <x:v>12:00</x:v>
      </x:c>
      <x:c r="C244" s="63" t="str">
        <x:v>FACULTAD DE INGENERIA </x:v>
      </x:c>
      <x:c r="D244" s="64" t="str">
        <x:v>9872</x:v>
      </x:c>
      <x:c r="E244" s="63" t="str">
        <x:v>LEAD – Campeonato Deportivo</x:v>
      </x:c>
      <x:c r="F244" s="63" t="str">
        <x:v>Campo Deportivo - pabellon I</x:v>
      </x:c>
      <x:c r="G244" s="63" t="str">
        <x:v>2 mesas con mantel / 4 sillas / 2 toldos / 2 extensiones eléctricas / 1 pizarra acrílica móvil.</x:v>
      </x:c>
      <x:c r="H244" s="57" t="str">
        <x:v>Alta</x:v>
      </x:c>
      <x:c r="I244" s="63" t="str">
        <x:v>Institucional</x:v>
      </x:c>
      <x:c r="J244" s="65" t="str">
        <x:v>Programado</x:v>
      </x:c>
    </x:row>
    <x:row r="245">
      <x:c r="A245" s="20" t="str">
        <x:v>2026-10-13</x:v>
      </x:c>
      <x:c r="B245" s="62" t="str">
        <x:v>12:00</x:v>
      </x:c>
      <x:c r="C245" s="63" t="str">
        <x:v>FACULTAD DE INGENERIA </x:v>
      </x:c>
      <x:c r="D245" s="64" t="str">
        <x:v>9870</x:v>
      </x:c>
      <x:c r="E245" s="63" t="str">
        <x:v>LEAD – Corporate Tech</x:v>
      </x:c>
      <x:c r="F245" s="63" t="str">
        <x:v>Auditorio pabellon O</x:v>
      </x:c>
      <x:c r="G245" s="63" t="str">
        <x:v>1 mesa para recepción / 2 muebles para el estrado .</x:v>
      </x:c>
      <x:c r="H245" s="57" t="str">
        <x:v>Alta</x:v>
      </x:c>
      <x:c r="I245" s="63" t="str">
        <x:v>Institucional</x:v>
      </x:c>
      <x:c r="J245" s="65" t="str">
        <x:v>Programado</x:v>
      </x:c>
    </x:row>
    <x:row r="246">
      <x:c r="A246" s="20" t="str">
        <x:v>2026-06-25</x:v>
      </x:c>
      <x:c r="B246" s="62" t="str">
        <x:v>12:00</x:v>
      </x:c>
      <x:c r="C246" s="63" t="str">
        <x:v>AREA MARKETING</x:v>
      </x:c>
      <x:c r="D246" s="64" t="str">
        <x:v>CORREO</x:v>
      </x:c>
      <x:c r="E246" s="63" t="str">
        <x:v>Pasantía Colegio COLEGIO FRIENDSHIP SCHOOL</x:v>
      </x:c>
      <x:c r="F246" s="63" t="str">
        <x:v>zonas externa de mesas picnic  comedor pabellon K</x:v>
      </x:c>
      <x:c r="G246" s="63" t="str">
        <x:v>Separacion de mesa picnic </x:v>
      </x:c>
      <x:c r="H246" s="57" t="str">
        <x:v>Alta</x:v>
      </x:c>
      <x:c r="I246" s="63" t="str">
        <x:v>Institucional</x:v>
      </x:c>
      <x:c r="J246" s="65" t="str">
        <x:v>Programado</x:v>
      </x:c>
    </x:row>
    <x:row r="247">
      <x:c r="A247" s="20" t="str">
        <x:v>2026-06-26</x:v>
      </x:c>
      <x:c r="B247" s="62" t="str">
        <x:v>10:00</x:v>
      </x:c>
      <x:c r="C247" s="63" t="str">
        <x:v>AREA MARKETING</x:v>
      </x:c>
      <x:c r="D247" s="64" t="str">
        <x:v>CORREO</x:v>
      </x:c>
      <x:c r="E247" s="63" t="str">
        <x:v>Pasantía COLEGIO NUESTRA SEÑORA DEL ROSARIO</x:v>
      </x:c>
      <x:c r="F247" s="63" t="str">
        <x:v>Terraza comedor  - pabellon K</x:v>
      </x:c>
      <x:c r="G247" s="63" t="str">
        <x:v>Separacion de espacio para  almuerzo</x:v>
      </x:c>
      <x:c r="H247" s="57" t="str">
        <x:v>Alta</x:v>
      </x:c>
      <x:c r="I247" s="63" t="str">
        <x:v>Institucional</x:v>
      </x:c>
      <x:c r="J247" s="65" t="str">
        <x:v>Programado</x:v>
      </x:c>
    </x:row>
    <x:row r="248">
      <x:c r="A248" s="20" t="str">
        <x:v>2026-06-26</x:v>
      </x:c>
      <x:c r="B248" s="62" t="str">
        <x:v>10:00</x:v>
      </x:c>
      <x:c r="C248" s="63" t="str">
        <x:v>AREA  RSU</x:v>
      </x:c>
      <x:c r="D248" s="64" t="str">
        <x:v>9910</x:v>
      </x:c>
      <x:c r="E248" s="63" t="str">
        <x:v>ACTIVACION EVENTO RSU</x:v>
      </x:c>
      <x:c r="F248" s="63" t="str">
        <x:v>Zona de sombrillas del comedor (frente al pabellón K)</x:v>
      </x:c>
      <x:c r="G248" s="63" t="str">
        <x:v>01 toldo Científica / 01 mesa con mantel Científica /02 sillas</x:v>
      </x:c>
      <x:c r="H248" s="57" t="str">
        <x:v>Alta</x:v>
      </x:c>
      <x:c r="I248" s="63" t="str">
        <x:v>Institucional</x:v>
      </x:c>
      <x:c r="J248" s="65" t="str">
        <x:v>Programado</x:v>
      </x:c>
    </x:row>
    <x:row r="249">
      <x:c r="A249" s="20" t="str">
        <x:v>2026-07-03</x:v>
      </x:c>
      <x:c r="B249" s="62" t="str">
        <x:v>09:00</x:v>
      </x:c>
      <x:c r="C249" s="63" t="str">
        <x:v>AREA DE ING. AMBIENTAL</x:v>
      </x:c>
      <x:c r="D249" s="64" t="str">
        <x:v>CORREO</x:v>
      </x:c>
      <x:c r="E249" s="63" t="str">
        <x:v>Vuela CIENTÍFICA</x:v>
      </x:c>
      <x:c r="F249" s="63" t="str">
        <x:v>LOTE 28</x:v>
      </x:c>
      <x:c r="G249" s="63" t="str">
        <x:v>04 TOLDOS / 08 MESAS / 16 SILLAS / 01 PODIO</x:v>
      </x:c>
      <x:c r="H249" s="66" t="str">
        <x:v>Alta</x:v>
      </x:c>
      <x:c r="I249" s="63" t="str">
        <x:v>Institucional</x:v>
      </x:c>
      <x:c r="J249" s="65" t="str">
        <x:v>Programado</x:v>
      </x:c>
    </x:row>
    <x:row r="250" ht="14.25" customHeight="1">
      <x:c r="A250" s="20" t="str">
        <x:v>2026-07-05</x:v>
      </x:c>
      <x:c r="B250" s="62" t="str">
        <x:v>07:00</x:v>
      </x:c>
      <x:c r="C250" s="63" t="str">
        <x:v>AREA VGU - DEPORTES </x:v>
      </x:c>
      <x:c r="D250" s="64" t="str">
        <x:v>9912</x:v>
      </x:c>
      <x:c r="E250" s="63" t="str">
        <x:v>festival de Woodball 5</x:v>
      </x:c>
      <x:c r="F250" s="63" t="str">
        <x:v>Zona Multideportiva - lote 28</x:v>
      </x:c>
      <x:c r="G250" s="63" t="str">
        <x:v>40 sillas / pies de campo  / 4 Cubos /  1 toldo /  2 mesas /  1 punto de energía  / 3 puntos de energía eléctrica para los carritos de food trucks.</x:v>
      </x:c>
      <x:c r="H250" s="57" t="str">
        <x:v>Alta</x:v>
      </x:c>
      <x:c r="I250" s="63" t="str">
        <x:v>Institucional</x:v>
      </x:c>
      <x:c r="J250" s="65" t="str">
        <x:v>Programado</x:v>
      </x:c>
    </x:row>
    <x:row r="251" ht="28.5">
      <x:c r="A251" s="20" t="str">
        <x:v>2026-06-26</x:v>
      </x:c>
      <x:c r="B251" s="62" t="str">
        <x:v>20:00</x:v>
      </x:c>
      <x:c r="C251" s="63" t="str">
        <x:v>AREA DE MARKETING</x:v>
      </x:c>
      <x:c r="D251" s="64" t="str">
        <x:v>9901</x:v>
      </x:c>
      <x:c r="E251" s="63" t="str">
        <x:v>Tour VIP Centro de Cirugía Robótica 26  de junio | Sede Villa</x:v>
      </x:c>
      <x:c r="F251" s="63" t="str">
        <x:v>Auditorio pabellon O</x:v>
      </x:c>
      <x:c r="G251" s="63" t="str">
        <x:v>Liberación de mobiliario de auditorio desde las 4:00 p.m., Dejarlo sin sillas / Traslado de Letra C a ingreso a auditorio y durante tour llevarlo al jardín del Pabellón N / Colocar mesa de registro vestidas con 2 sillas en ingreso de Auditorio.                                                                                                                                               Jardín Pabellón N / Suspender regado de jardín del Pabellón N desde 24 de junio (habrá show de caballos) / Personal disponible para brindar accesos de corriente a productora desde las 4:00 p.m. Se colocará luminaria con reflectores. / Colocación de 8 pies de cancha en perímetro de jardín</x:v>
      </x:c>
      <x:c r="H251" s="57" t="str">
        <x:v>Alta</x:v>
      </x:c>
      <x:c r="I251" s="63" t="str">
        <x:v>Institucional</x:v>
      </x:c>
      <x:c r="J251" s="65" t="str">
        <x:v>Programado</x:v>
      </x:c>
    </x:row>
    <x:row r="252" ht="93.75" customHeight="1">
      <x:c r="A252" s="20" t="str">
        <x:v>2026-06-27</x:v>
      </x:c>
      <x:c r="B252" s="62" t="str">
        <x:v>10:00</x:v>
      </x:c>
      <x:c r="C252" s="63" t="str">
        <x:v>AREA DE MARKETING</x:v>
      </x:c>
      <x:c r="D252" s="64" t="str">
        <x:v>9902</x:v>
      </x:c>
      <x:c r="E252" s="63" t="str">
        <x:v>Tour VIP Centro de Cirugía Robótica 27  de junio | Sede Villa</x:v>
      </x:c>
      <x:c r="F252" s="63" t="str">
        <x:v>TERRAZA COMEDOR </x:v>
      </x:c>
      <x:c r="G252" s="63" t="str">
        <x:v>Pabellón O Habilitar mobiliario de auditorio / Traslado de Letra C a ingreso a auditorio / mesa de registro vestidas con 2 sillas /Jardín Pabellón N Suspender regado de jardín del Pabellón N desde 24 de junio (habrá show de caballos) / Personal disponible para brindar accesos de corriente a productora desde las 4:00 p.m. Se colocará luminaria con reflectores / Colocación de 8 pies de cancha. Terraza Cafetería Liberación de sillones de 2do nivel de terraza ya que se colocará toldo para Kitchen desde 26 de junio / Limpieza de terraza de cafetería / Colocación de separadores para reserva de espacios / Mantenimiento de jardín, luces de techo, espacios y toldo de terraza (adjunto fotografías de espacios tomadas ayer).</x:v>
      </x:c>
      <x:c r="H252" s="57" t="str">
        <x:v>Alta</x:v>
      </x:c>
      <x:c r="I252" s="63" t="str">
        <x:v>Institucional</x:v>
      </x:c>
      <x:c r="J252" s="65" t="str">
        <x:v>Programado</x:v>
      </x:c>
    </x:row>
    <x:row r="253" ht="129.75" customHeight="1">
      <x:c r="A253" s="20" t="str">
        <x:v>2026-07-02</x:v>
      </x:c>
      <x:c r="B253" s="62" t="str">
        <x:v>07:00</x:v>
      </x:c>
      <x:c r="C253" s="63" t="str">
        <x:v>AREA DE RSU</x:v>
      </x:c>
      <x:c r="D253" s="64" t="str">
        <x:v>CORREO</x:v>
      </x:c>
      <x:c r="E253" s="63" t="str">
        <x:v>Xplora tu Futuro</x:v>
      </x:c>
      <x:c r="F253" s="63" t="str">
        <x:v>ANFITEATRO PABELLON I </x:v>
      </x:c>
      <x:c r="G253" s="63" t="str">
        <x:v>4 toldos / 4 mesas con mantel / 12 sillas / 4 conexiones eléctricas /2 extensiones</x:v>
      </x:c>
      <x:c r="H253" s="57" t="str">
        <x:v>Alta</x:v>
      </x:c>
      <x:c r="I253" s="63" t="str">
        <x:v>Institucional</x:v>
      </x:c>
      <x:c r="J253" s="65" t="str">
        <x:v>Programado</x:v>
      </x:c>
    </x:row>
    <x:row r="254">
      <x:c r="A254" s="20" t="str">
        <x:v>2026-07-02</x:v>
      </x:c>
      <x:c r="B254" s="62" t="str">
        <x:v>10:00</x:v>
      </x:c>
      <x:c r="C254" s="63" t="str">
        <x:v>AREA DE VGU</x:v>
      </x:c>
      <x:c r="D254" s="64" t="str">
        <x:v>9916</x:v>
      </x:c>
      <x:c r="E254" s="63" t="str">
        <x:v>Feria del Bienestar Mental </x:v>
      </x:c>
      <x:c r="F254" s="63" t="str">
        <x:v>JARDIN DEL PABELLON  N </x:v>
      </x:c>
      <x:c r="G254" s="63" t="str">
        <x:v>Puntos de luz para proveedor Parlantes 2500 voltios (2 puntos) para Escenario / Puntos de luz para proveedor Puestos de comida 220 voltios (2 puntos) 1 por cada puesto  / 50 Sillas  / 4 mesas sin mantel / 3 mesas vestidas  6 sillas adicionales / 3 puntos de luz, una para cada mesa vestida</x:v>
      </x:c>
      <x:c r="H254" s="57" t="str">
        <x:v>Alta</x:v>
      </x:c>
      <x:c r="I254" s="63" t="str">
        <x:v>Institucional</x:v>
      </x:c>
      <x:c r="J254" s="65" t="str">
        <x:v>Programado</x:v>
      </x:c>
    </x:row>
    <x:row r="255" ht="51.75" customHeight="1">
      <x:c r="A255" s="20" t="str">
        <x:v>2026-07-04</x:v>
      </x:c>
      <x:c r="B255" s="62" t="str">
        <x:v>14:30</x:v>
      </x:c>
      <x:c r="C255" s="63" t="str">
        <x:v>FACULTAD DE OBSTETRICIA </x:v>
      </x:c>
      <x:c r="D255" s="64" t="str">
        <x:v>CORREO</x:v>
      </x:c>
      <x:c r="E255" s="63" t="str">
        <x:v>Carrera Obstetricia</x:v>
      </x:c>
      <x:c r="F255" s="63" t="str">
        <x:v>JARDIN DEL PABELLON  N </x:v>
      </x:c>
      <x:c r="G255" s="63" t="str">
        <x:v>04 toldos / 06 mesas / 06 sillas / 01 mantel por cada mesa</x:v>
      </x:c>
      <x:c r="H255" s="57" t="str">
        <x:v>Alta</x:v>
      </x:c>
      <x:c r="I255" s="63" t="str">
        <x:v>Institucional</x:v>
      </x:c>
      <x:c r="J255" s="65" t="str">
        <x:v>Programado</x:v>
      </x:c>
    </x:row>
    <x:row r="256" ht="30.75" customHeight="1">
      <x:c r="A256" s="20" t="str">
        <x:v>2026-06-25</x:v>
      </x:c>
      <x:c r="B256" s="62" t="str">
        <x:v>08:00</x:v>
      </x:c>
      <x:c r="C256" s="63" t="str">
        <x:v>AREA DE MARKETING</x:v>
      </x:c>
      <x:c r="D256" s="64" t="str">
        <x:v>9905</x:v>
      </x:c>
      <x:c r="E256" s="63" t="str">
        <x:v>ACTIVIDAD VISITA DE COLEGIOS</x:v>
      </x:c>
      <x:c r="F256" s="63" t="str">
        <x:v>COSTADO DE VENTAS PABELLON I</x:v>
      </x:c>
      <x:c r="G256" s="67" t="str">
        <x:v>01 TOLDO / 01 MESA / 02 SILLAS / 01 PUNTO DE ENERGIA</x:v>
      </x:c>
      <x:c r="H256" s="57" t="str">
        <x:v>Alta</x:v>
      </x:c>
      <x:c r="I256" s="63" t="str">
        <x:v>Institucional</x:v>
      </x:c>
      <x:c r="J256" s="65" t="str">
        <x:v>Programado</x:v>
      </x:c>
    </x:row>
    <x:row r="257">
      <x:c r="A257" s="20" t="str">
        <x:v>2026-06-26</x:v>
      </x:c>
      <x:c r="B257" s="62" t="str">
        <x:v>08:00</x:v>
      </x:c>
      <x:c r="C257" s="63" t="str">
        <x:v>AREA DE MARKETING</x:v>
      </x:c>
      <x:c r="D257" s="64" t="str">
        <x:v>9905</x:v>
      </x:c>
      <x:c r="E257" s="63" t="str">
        <x:v>ACTIVIDAD VISITA DE COLEGIOS</x:v>
      </x:c>
      <x:c r="F257" s="63" t="str">
        <x:v>COSTADO DE VENTAS PABELLON I</x:v>
      </x:c>
      <x:c r="G257" s="63" t="str">
        <x:v>01 TOLDO / 01 MESA / 02 SILLAS / 01 PUNTO DE ENERGIA</x:v>
      </x:c>
      <x:c r="H257" s="57" t="str">
        <x:v>Alta</x:v>
      </x:c>
      <x:c r="I257" s="63" t="str">
        <x:v>Institucional</x:v>
      </x:c>
      <x:c r="J257" s="65" t="str">
        <x:v>Programado</x:v>
      </x:c>
    </x:row>
    <x:row r="258">
      <x:c r="A258" s="20" t="str">
        <x:v>2026-06-27</x:v>
      </x:c>
      <x:c r="B258" s="62" t="str">
        <x:v>08:00</x:v>
      </x:c>
      <x:c r="C258" s="63" t="str">
        <x:v>VGU</x:v>
      </x:c>
      <x:c r="D258" s="64" t="str">
        <x:v>9930</x:v>
      </x:c>
      <x:c r="E258" s="63" t="str">
        <x:v>COMPETENCIA FEDUP</x:v>
      </x:c>
      <x:c r="F258" s="63" t="str">
        <x:v>CANCHA DE BASQUET</x:v>
      </x:c>
      <x:c r="G258" s="63" t="str">
        <x:v>04 PIES DE CANCHA / DEJAR TRAPOS DE LIMPIEZA / DEJAR ESCOBA 7 01 PUNTO DE ENERGIA</x:v>
      </x:c>
      <x:c r="H258" s="57" t="str">
        <x:v>Alta</x:v>
      </x:c>
      <x:c r="I258" s="63" t="str">
        <x:v>Institucional</x:v>
      </x:c>
      <x:c r="J258" s="65" t="str">
        <x:v>Programado</x:v>
      </x:c>
    </x:row>
    <x:row r="259" ht="28.5">
      <x:c r="A259" s="20" t="str">
        <x:v>2026-06-28</x:v>
      </x:c>
      <x:c r="B259" s="62" t="str">
        <x:v>08:00</x:v>
      </x:c>
      <x:c r="C259" s="63" t="str">
        <x:v>VGU</x:v>
      </x:c>
      <x:c r="D259" s="64" t="str">
        <x:v>9930</x:v>
      </x:c>
      <x:c r="E259" s="63" t="str">
        <x:v>COMPETENCIA FEDUP</x:v>
      </x:c>
      <x:c r="F259" s="63" t="str">
        <x:v>CANCHA DE BASQUET</x:v>
      </x:c>
      <x:c r="G259" s="63" t="str">
        <x:v>04 PIES DE CANCHA / DEJAR TRAPOS DE LIMPIEZA / DEJAR ESCOBA 7 01 PUNTO DE ENERGIA</x:v>
      </x:c>
      <x:c r="H259" s="57" t="str">
        <x:v>Alta</x:v>
      </x:c>
      <x:c r="I259" s="63" t="str">
        <x:v>Institucional</x:v>
      </x:c>
      <x:c r="J259" s="65" t="str">
        <x:v>Programado</x:v>
      </x:c>
    </x:row>
    <x:row r="260" ht="28.5">
      <x:c r="A260" s="20" t="str">
        <x:v>2026-07-02</x:v>
      </x:c>
      <x:c r="B260" s="62" t="str">
        <x:v>08:00</x:v>
      </x:c>
      <x:c r="C260" s="63" t="str">
        <x:v>EMPLEABILIDAD</x:v>
      </x:c>
      <x:c r="D260" s="64" t="str">
        <x:v>CORREO</x:v>
      </x:c>
      <x:c r="E260" s="63" t="str">
        <x:v>FERIA EMPRESARIAL</x:v>
      </x:c>
      <x:c r="F260" s="63" t="str">
        <x:v>PASADIZO DEL N </x:v>
      </x:c>
      <x:c r="G260" s="63" t="str">
        <x:v>05 MESAS / 10 SILLAS</x:v>
      </x:c>
      <x:c r="H260" s="57" t="str">
        <x:v>Alta</x:v>
      </x:c>
      <x:c r="I260" s="63" t="str">
        <x:v>Institucional</x:v>
      </x:c>
      <x:c r="J260" s="65" t="str">
        <x:v>No programado</x:v>
      </x:c>
    </x:row>
    <x:row r="261">
      <x:c r="A261" s="20" t="str">
        <x:v>2026-07-02</x:v>
      </x:c>
      <x:c r="B261" s="62" t="str">
        <x:v>08:00</x:v>
      </x:c>
      <x:c r="C261" s="63" t="str">
        <x:v>EMPLEABILIDAD</x:v>
      </x:c>
      <x:c r="D261" s="64" t="str">
        <x:v>CORREO</x:v>
      </x:c>
      <x:c r="E261" s="63" t="str">
        <x:v>FERIA EMPRESARIAL</x:v>
      </x:c>
      <x:c r="F261" s="63" t="str">
        <x:v>INGRESO DEL PABELLON N</x:v>
      </x:c>
      <x:c r="G261" s="63" t="str">
        <x:v>06 MESAS / 15 SILLAS </x:v>
      </x:c>
      <x:c r="H261" s="66" t="str">
        <x:v>Alta</x:v>
      </x:c>
      <x:c r="I261" s="63" t="str">
        <x:v>Institucional</x:v>
      </x:c>
      <x:c r="J261" s="65" t="str">
        <x:v>No programado</x:v>
      </x:c>
    </x:row>
    <x:row r="262">
      <x:c r="A262" s="20" t="str">
        <x:v>2026-07-06</x:v>
      </x:c>
      <x:c r="B262" s="62" t="str">
        <x:v>14:00</x:v>
      </x:c>
      <x:c r="C262" s="63" t="str">
        <x:v>INVESTIGACION </x:v>
      </x:c>
      <x:c r="D262" s="64" t="str">
        <x:v>82461</x:v>
      </x:c>
      <x:c r="E262" s="63" t="str">
        <x:v>EVENTO</x:v>
      </x:c>
      <x:c r="F262" s="63" t="str">
        <x:v>AUDITORIO - PABELLON O </x:v>
      </x:c>
      <x:c r="G262" s="63" t="str">
        <x:v>01 PODIUM / 1 MESA PARA LAPTOP / 03 MESAS COFFE BREAK </x:v>
      </x:c>
      <x:c r="H262" s="66" t="str">
        <x:v>Alta</x:v>
      </x:c>
      <x:c r="I262" s="63" t="str">
        <x:v>Institucional</x:v>
      </x:c>
      <x:c r="J262" s="65" t="str">
        <x:v>Programado</x:v>
      </x:c>
    </x:row>
    <x:row r="263">
      <x:c r="A263" s="20" t="str">
        <x:v>2026-07-08</x:v>
      </x:c>
      <x:c r="B263" s="62" t="str">
        <x:v>08:00</x:v>
      </x:c>
      <x:c r="C263" s="63" t="str">
        <x:v>UZIT</x:v>
      </x:c>
      <x:c r="D263" s="64" t="str">
        <x:v>82447</x:v>
      </x:c>
      <x:c r="E263" s="63" t="str">
        <x:v>VETERINARIA</x:v>
      </x:c>
      <x:c r="F263" s="63" t="str">
        <x:v>LOTE 28</x:v>
      </x:c>
      <x:c r="G263" s="63" t="str">
        <x:v>04/ TOLDOS / 06 MESAS / 18 SILLAS </x:v>
      </x:c>
      <x:c r="H263" s="66" t="str">
        <x:v>Alta</x:v>
      </x:c>
      <x:c r="I263" s="63" t="str">
        <x:v>Institucional</x:v>
      </x:c>
      <x:c r="J263" s="65" t="str">
        <x:v>Programado</x:v>
      </x:c>
    </x:row>
    <x:row r="264">
      <x:c r="A264" s="20" t="str">
        <x:v>2026-07-03</x:v>
      </x:c>
      <x:c r="B264" s="62" t="str">
        <x:v>11:00</x:v>
      </x:c>
      <x:c r="C264" s="63" t="str">
        <x:v>EMPLEABILIDAD </x:v>
      </x:c>
      <x:c r="D264" s="64" t="str">
        <x:v>82383</x:v>
      </x:c>
      <x:c r="E264" s="63" t="str">
        <x:v>TELLER MINDSET EMPRENDEDOR </x:v>
      </x:c>
      <x:c r="F264" s="63" t="str">
        <x:v>AUDITORIO - PABELLON O </x:v>
      </x:c>
      <x:c r="G264" s="63" t="str">
        <x:v>08 MESAS / 60 SILLAS / 02 MESAS COFFE / 01 MESA REGISTRO </x:v>
      </x:c>
      <x:c r="H264" s="66" t="str">
        <x:v>Alta</x:v>
      </x:c>
      <x:c r="I264" s="63" t="str">
        <x:v>Institucional</x:v>
      </x:c>
      <x:c r="J264" s="65" t="str">
        <x:v>Programado</x:v>
      </x:c>
    </x:row>
    <x:row r="265">
      <x:c r="A265" s="20" t="str">
        <x:v>2026-06-30</x:v>
      </x:c>
      <x:c r="B265" s="62" t="str">
        <x:v>16:00</x:v>
      </x:c>
      <x:c r="C265" s="63" t="str">
        <x:v>EMPLEABILIDAD</x:v>
      </x:c>
      <x:c r="D265" s="64" t="str">
        <x:v>82338</x:v>
      </x:c>
      <x:c r="E265" s="63" t="str">
        <x:v>CLUB DE MINERIA Y CONSTRUCCION</x:v>
      </x:c>
      <x:c r="F265" s="63" t="str">
        <x:v>AUDITORIO - PABELLON O </x:v>
      </x:c>
      <x:c r="G265" s="63" t="str">
        <x:v>02 MESAS / 70 SILLAS / 3 SILLONES / 01 PODIUM </x:v>
      </x:c>
      <x:c r="H265" s="66" t="str">
        <x:v>Alta</x:v>
      </x:c>
      <x:c r="I265" s="63" t="str">
        <x:v>Institucional</x:v>
      </x:c>
      <x:c r="J265" s="65" t="str">
        <x:v>Programado</x:v>
      </x:c>
    </x:row>
    <x:row r="266">
      <x:c r="A266" s="20" t="str">
        <x:v>2026-07-01</x:v>
      </x:c>
      <x:c r="B266" s="62" t="str">
        <x:v>08:00</x:v>
      </x:c>
      <x:c r="C266" s="63" t="str">
        <x:v>VGU</x:v>
      </x:c>
      <x:c r="D266" s="64" t="str">
        <x:v>9963</x:v>
      </x:c>
      <x:c r="E266" s="63" t="str">
        <x:v>Habilitación ambientes-Talleres Culturales-Julio</x:v>
      </x:c>
      <x:c r="F266" s="63" t="str">
        <x:v>AMBIENTES VARIOS </x:v>
      </x:c>
      <x:c r="G266" s="63" t="str">
        <x:v>Habilitación ambientes-Talleres Culturales-Julio</x:v>
      </x:c>
      <x:c r="H266" s="66" t="str">
        <x:v>Alta</x:v>
      </x:c>
      <x:c r="I266" s="63" t="str">
        <x:v>Institucional</x:v>
      </x:c>
      <x:c r="J266" s="65" t="str">
        <x:v>Programado</x:v>
      </x:c>
    </x:row>
    <x:row r="267">
      <x:c r="A267" s="20" t="str">
        <x:v>2026-07-02</x:v>
      </x:c>
      <x:c r="B267" s="62" t="str">
        <x:v>07:00</x:v>
      </x:c>
      <x:c r="C267" s="63" t="str">
        <x:v>VGU</x:v>
      </x:c>
      <x:c r="D267" s="64" t="str">
        <x:v>9962</x:v>
      </x:c>
      <x:c r="E267" s="63" t="str">
        <x:v>Habilitación ambientes-Talleres Deportivos-Julio</x:v>
      </x:c>
      <x:c r="F267" s="63" t="str">
        <x:v>Espacio deportiva cultural / Lote 28 </x:v>
      </x:c>
      <x:c r="G267" s="63" t="str">
        <x:v>Habilitación ambientes-Talleres Deportivos-Julio</x:v>
      </x:c>
      <x:c r="H267" s="66" t="str">
        <x:v>Alta</x:v>
      </x:c>
      <x:c r="I267" s="63" t="str">
        <x:v>Institucional</x:v>
      </x:c>
      <x:c r="J267" s="65" t="str">
        <x:v>Programado</x:v>
      </x:c>
    </x:row>
    <x:row r="268">
      <x:c r="A268" s="20"/>
      <x:c r="B268" s="13"/>
      <x:c r="C268" s="10"/>
      <x:c r="D268" s="16"/>
      <x:c r="E268" s="10"/>
      <x:c r="F268" s="10"/>
      <x:c r="G268" s="12"/>
      <x:c r="H268" s="26"/>
      <x:c r="I268" s="10"/>
      <x:c r="J268" s="11"/>
    </x:row>
    <x:row r="269">
      <x:c r="A269" s="20"/>
      <x:c r="B269" s="13"/>
      <x:c r="C269" s="10"/>
      <x:c r="D269" s="16"/>
      <x:c r="E269" s="10"/>
      <x:c r="F269" s="10"/>
      <x:c r="G269" s="12"/>
      <x:c r="I269" s="10"/>
      <x:c r="J269" s="11"/>
    </x:row>
    <x:row r="270">
      <x:c r="A270" s="20"/>
      <x:c r="B270" s="13"/>
      <x:c r="C270" s="10"/>
      <x:c r="D270" s="16"/>
      <x:c r="E270" s="10"/>
      <x:c r="F270" s="10"/>
      <x:c r="G270" s="12"/>
      <x:c r="I270" s="10"/>
      <x:c r="J270" s="11"/>
    </x:row>
    <x:row r="271">
      <x:c r="A271" s="20"/>
      <x:c r="B271" s="13"/>
      <x:c r="C271" s="10"/>
      <x:c r="D271" s="16"/>
      <x:c r="E271" s="10"/>
      <x:c r="F271" s="10"/>
      <x:c r="G271" s="12"/>
      <x:c r="I271" s="10"/>
      <x:c r="J271" s="11"/>
    </x:row>
    <x:row r="272">
      <x:c r="A272" s="20"/>
      <x:c r="B272" s="13"/>
      <x:c r="C272" s="10"/>
      <x:c r="D272" s="16"/>
      <x:c r="E272" s="10"/>
      <x:c r="F272" s="10"/>
      <x:c r="G272" s="12"/>
      <x:c r="I272" s="10"/>
      <x:c r="J272" s="11"/>
    </x:row>
    <x:row r="273">
      <x:c r="A273" s="20"/>
      <x:c r="B273" s="13"/>
      <x:c r="C273" s="10"/>
      <x:c r="D273" s="16"/>
      <x:c r="E273" s="10"/>
      <x:c r="F273" s="10"/>
      <x:c r="G273" s="12"/>
      <x:c r="I273" s="10"/>
      <x:c r="J273" s="11"/>
    </x:row>
    <x:row r="274">
      <x:c r="A274" s="20"/>
      <x:c r="B274" s="13"/>
      <x:c r="C274" s="10"/>
      <x:c r="D274" s="16"/>
      <x:c r="E274" s="10"/>
      <x:c r="F274" s="10"/>
      <x:c r="G274" s="12"/>
      <x:c r="I274" s="10"/>
      <x:c r="J274" s="11"/>
    </x:row>
    <x:row r="275">
      <x:c r="A275" s="20"/>
      <x:c r="B275" s="13"/>
      <x:c r="C275" s="10"/>
      <x:c r="D275" s="16"/>
      <x:c r="E275" s="10"/>
      <x:c r="F275" s="10"/>
      <x:c r="G275" s="12"/>
      <x:c r="I275" s="10"/>
      <x:c r="J275" s="11"/>
    </x:row>
    <x:row r="276">
      <x:c r="A276" s="20"/>
      <x:c r="B276" s="13"/>
      <x:c r="C276" s="10"/>
      <x:c r="D276" s="16"/>
      <x:c r="E276" s="10"/>
      <x:c r="F276" s="10"/>
      <x:c r="G276" s="12"/>
      <x:c r="I276" s="10"/>
      <x:c r="J276" s="11"/>
    </x:row>
    <x:row r="277">
      <x:c r="A277" s="20"/>
      <x:c r="B277" s="13"/>
      <x:c r="C277" s="10"/>
      <x:c r="D277" s="16"/>
      <x:c r="E277" s="10"/>
      <x:c r="F277" s="10"/>
      <x:c r="G277" s="12"/>
      <x:c r="I277" s="10"/>
      <x:c r="J277" s="11"/>
    </x:row>
    <x:row r="278">
      <x:c r="A278" s="20"/>
      <x:c r="B278" s="13"/>
      <x:c r="C278" s="10"/>
      <x:c r="D278" s="16"/>
      <x:c r="E278" s="10"/>
      <x:c r="F278" s="10"/>
      <x:c r="G278" s="12"/>
      <x:c r="I278" s="10"/>
      <x:c r="J278" s="11"/>
    </x:row>
    <x:row r="279">
      <x:c r="A279" s="20"/>
      <x:c r="B279" s="13"/>
      <x:c r="C279" s="10"/>
      <x:c r="D279" s="16"/>
      <x:c r="E279" s="10"/>
      <x:c r="F279" s="10"/>
      <x:c r="G279" s="12"/>
      <x:c r="I279" s="10"/>
      <x:c r="J279" s="11"/>
    </x:row>
    <x:row r="280">
      <x:c r="A280" s="20"/>
      <x:c r="B280" s="13"/>
      <x:c r="C280" s="10"/>
      <x:c r="D280" s="16"/>
      <x:c r="E280" s="10"/>
      <x:c r="F280" s="10"/>
      <x:c r="G280" s="12"/>
      <x:c r="I280" s="10"/>
      <x:c r="J280" s="11"/>
    </x:row>
    <x:row r="281">
      <x:c r="A281" s="20"/>
      <x:c r="B281" s="13"/>
      <x:c r="C281" s="10"/>
      <x:c r="D281" s="16"/>
      <x:c r="E281" s="10"/>
      <x:c r="F281" s="10"/>
      <x:c r="G281" s="12"/>
      <x:c r="I281" s="10"/>
      <x:c r="J281" s="11"/>
    </x:row>
    <x:row r="282">
      <x:c r="A282" s="20"/>
      <x:c r="B282" s="13"/>
      <x:c r="C282" s="10"/>
      <x:c r="D282" s="16"/>
      <x:c r="E282" s="10"/>
      <x:c r="F282" s="10"/>
      <x:c r="G282" s="12"/>
      <x:c r="I282" s="10"/>
      <x:c r="J282" s="11"/>
    </x:row>
    <x:row r="283">
      <x:c r="A283" s="20"/>
      <x:c r="B283" s="13"/>
      <x:c r="C283" s="10"/>
      <x:c r="D283" s="16"/>
      <x:c r="E283" s="10"/>
      <x:c r="F283" s="10"/>
      <x:c r="G283" s="12"/>
      <x:c r="I283" s="10"/>
      <x:c r="J283" s="11"/>
    </x:row>
  </x:sheetData>
  <x:conditionalFormatting sqref="H2:H283">
    <x:cfRule type="expression" dxfId="4" priority="1">
      <x:formula>H2="Alta"</x:formula>
    </x:cfRule>
    <x:cfRule type="expression" dxfId="3" priority="2">
      <x:formula>H2="Media"</x:formula>
    </x:cfRule>
    <x:cfRule type="expression" dxfId="2" priority="3">
      <x:formula>H2="Baja"</x:formula>
    </x:cfRule>
  </x:conditionalFormatting>
  <x:conditionalFormatting sqref="J2:J116 J230:J283">
    <x:cfRule type="expression" dxfId="1" priority="9">
      <x:formula>J2="Ejecutado"</x:formula>
    </x:cfRule>
    <x:cfRule type="expression" dxfId="0" priority="10">
      <x:formula>J2="Pendiente"</x:formula>
    </x:cfRule>
  </x:conditionalFormatting>
  <x:dataValidations count="3">
    <x:dataValidation type="list" sqref="H2:H267">
      <x:formula1>LISTAS!$A$2:$A$4</x:formula1>
    </x:dataValidation>
    <x:dataValidation type="list" sqref="I2:I267">
      <x:formula1>LISTAS!$C$2:$C$7</x:formula1>
    </x:dataValidation>
    <x:dataValidation type="list" sqref="J2:J267">
      <x:formula1>LISTAS!$B$2:$B$5</x:formula1>
    </x:dataValidation>
  </x:dataValidations>
  <x:pageMargins left="0.7" right="0.7" top="0.75" bottom="0.75" header="0.3" footer="0.3"/>
  <x:tableParts count="1">
    <x:tablePart xmlns:r="http://schemas.openxmlformats.org/officeDocument/2006/relationships" r:id="R1b8c0f4a5c6a4e5c"/>
  </x:tableParts>
</x:worksheet>
</file>

<file path=xl/worksheets/sheet2.xml><?xml version="1.0" encoding="utf-8"?>
<x:worksheet xmlns:x="http://schemas.openxmlformats.org/spreadsheetml/2006/main">
  <x:sheetFormatPr baseColWidth="10" defaultColWidth="9" defaultRowHeight="14.25"/>
  <x:cols>
    <x:col min="1" max="3" width="18" customWidth="1"/>
  </x:cols>
  <x:sheetData>
    <x:row r="1" ht="15" customHeight="1">
      <x:c r="A1" s="5" t="s">
        <x:v>0</x:v>
      </x:c>
      <x:c r="B1" s="5" t="s">
        <x:v>1</x:v>
      </x:c>
      <x:c r="C1" s="5" t="s">
        <x:v>2</x:v>
      </x:c>
    </x:row>
    <x:row r="2">
      <x:c r="A2" t="s">
        <x:v>3</x:v>
      </x:c>
      <x:c r="B2" t="s">
        <x:v>4</x:v>
      </x:c>
      <x:c r="C2" t="s">
        <x:v>5</x:v>
      </x:c>
    </x:row>
    <x:row r="3">
      <x:c r="A3" t="s">
        <x:v>6</x:v>
      </x:c>
      <x:c r="B3" t="s">
        <x:v>7</x:v>
      </x:c>
      <x:c r="C3" t="s">
        <x:v>8</x:v>
      </x:c>
    </x:row>
    <x:row r="4">
      <x:c r="A4" t="s">
        <x:v>9</x:v>
      </x:c>
      <x:c r="B4" t="s">
        <x:v>10</x:v>
      </x:c>
      <x:c r="C4" t="s">
        <x:v>11</x:v>
      </x:c>
    </x:row>
    <x:row r="5">
      <x:c r="B5" t="s">
        <x:v>12</x:v>
      </x:c>
      <x:c r="C5" t="s">
        <x:v>13</x:v>
      </x:c>
    </x:row>
    <x:row r="6">
      <x:c r="C6" t="s">
        <x:v>14</x:v>
      </x:c>
    </x:row>
    <x:row r="7">
      <x:c r="C7" t="s">
        <x:v>15</x:v>
      </x:c>
    </x:row>
  </x:sheetData>
  <x:pageMargins left="0.7" right="0.7" top="0.75" bottom="0.75" header="0.3" footer="0.3"/>
</x:worksheet>
</file>

<file path=xl/worksheets/sheet3.xml><?xml version="1.0" encoding="utf-8"?>
<x:worksheet xmlns:x="http://schemas.openxmlformats.org/spreadsheetml/2006/main">
  <x:sheetFormatPr baseColWidth="10" defaultColWidth="9" defaultRowHeight="14.25"/>
  <x:cols>
    <x:col min="1" max="2" width="24" customWidth="1"/>
  </x:cols>
  <x:sheetData>
    <x:row r="1" ht="30" customHeight="1">
      <x:c r="A1" s="75" t="str">
        <x:v>CONTROL DE EVENTOS CAMPUS VILLA - RESUMEN</x:v>
      </x:c>
      <x:c r="B1" s="77"/>
      <x:c r="C1" s="25"/>
      <x:c r="D1" s="25"/>
      <x:c r="E1" s="25"/>
      <x:c r="F1" s="25"/>
    </x:row>
    <x:row r="2">
      <x:c r="A2"/>
      <x:c r="B2"/>
    </x:row>
    <x:row r="3" ht="15" customHeight="1">
      <x:c r="A3" s="77" t="str">
        <x:v>Indicador</x:v>
      </x:c>
      <x:c r="B3" s="77" t="str">
        <x:v>Cantidad</x:v>
      </x:c>
    </x:row>
    <x:row r="4" ht="15" customHeight="1">
      <x:c r="A4" s="6" t="str">
        <x:v>Eventos</x:v>
      </x:c>
      <x:c r="B4" t="n">
        <x:f>COUNTA(EVENTOS!E2:E267)</x:f>
        <x:v>266</x:v>
      </x:c>
    </x:row>
    <x:row r="5" ht="15" customHeight="1">
      <x:c r="A5" s="6" t="str">
        <x:v>Ejecutados</x:v>
      </x:c>
      <x:c r="B5" t="n">
        <x:f>COUNTIF(EVENTOS!J2:J267,"Ejecutado")</x:f>
        <x:v>2</x:v>
      </x:c>
    </x:row>
    <x:row r="6" ht="15" customHeight="1">
      <x:c r="A6" s="6" t="str">
        <x:v>Pendientes</x:v>
      </x:c>
      <x:c r="B6" t="n">
        <x:f>COUNTIF(EVENTOS!J2:J267,"Pendiente")</x:f>
        <x:v>13</x:v>
      </x:c>
    </x:row>
    <x:row r="7" ht="15" customHeight="1">
      <x:c r="A7" s="6" t="str">
        <x:v>Prioridad Alta</x:v>
      </x:c>
      <x:c r="B7" t="n">
        <x:f>COUNTIF(EVENTOS!H2:H267,"Alta")</x:f>
        <x:v>263</x:v>
      </x:c>
    </x:row>
    <x:row r="8" ht="15" customHeight="1">
      <x:c r="A8" s="6" t="str">
        <x:v>Ubicaciones registradas</x:v>
      </x:c>
      <x:c r="B8" t="n">
        <x:f>COUNTA(UNIQUE(EVENTOS!F2:F267))</x:f>
        <x:v>56</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40" hidden="0" customWidth="1"/>
    <x:col min="3" max="3" width="40" hidden="0" customWidth="1"/>
    <x:col min="4" max="4" width="35" hidden="0" customWidth="1"/>
  </x:cols>
  <x:sheetData>
    <x:row r="1">
      <x:c r="A1" s="77" t="str">
        <x:v>Revisión del archivo para actualización GitHub</x:v>
      </x:c>
      <x:c r="B1" s="77" t="str"/>
      <x:c r="C1" s="77" t="str"/>
      <x:c r="D1" s="77" t="str"/>
    </x:row>
    <x:row r="2">
      <x:c r="A2" s="82" t="str">
        <x:v>Problema detectado</x:v>
      </x:c>
      <x:c r="B2" s="82" t="str">
        <x:v>Detalle</x:v>
      </x:c>
      <x:c r="C2" s="82" t="str">
        <x:v>Acción aplicada</x:v>
      </x:c>
      <x:c r="D2" s="82" t="str">
        <x:v>Impacto</x:v>
      </x:c>
    </x:row>
    <x:row r="3">
      <x:c r="A3" t="str">
        <x:v>Fechas/horas en serial Excel</x:v>
      </x:c>
      <x:c r="B3" t="str">
        <x:v>56 filas tenían fecha/hora como número</x:v>
      </x:c>
      <x:c r="C3" t="str">
        <x:v>Convertidas a texto ISO yyyy-mm-dd y HH:mm</x:v>
      </x:c>
      <x:c r="D3" t="str">
        <x:v>Evita que el dashboard muestre números o no actualice</x:v>
      </x:c>
    </x:row>
    <x:row r="4">
      <x:c r="A4" t="str">
        <x:v>Fila partida</x:v>
      </x:c>
      <x:c r="B4" t="str">
        <x:v>Fila 231 tenía solo requerimientos y fecha vacía</x:v>
      </x:c>
      <x:c r="C4" t="str">
        <x:v>Se unificó con el evento anterior</x:v>
      </x:c>
      <x:c r="D4" t="str">
        <x:v>Evita cortes en la lectura de la tabla</x:v>
      </x:c>
    </x:row>
    <x:row r="5">
      <x:c r="A5" t="str">
        <x:v>Resumen desactualizado</x:v>
      </x:c>
      <x:c r="B5" t="str">
        <x:v>Indicadores estaban fijos en 15 eventos</x:v>
      </x:c>
      <x:c r="C5" t="str">
        <x:v>Se reemplazaron por fórmulas sobre toda la tabla</x:v>
      </x:c>
      <x:c r="D5" t="str">
        <x:v>Resumen queda dinámico</x:v>
      </x:c>
    </x:row>
    <x:row r="6">
      <x:c r="A6" t="str">
        <x:v>Total eventos limpios</x:v>
      </x:c>
      <x:c r="B6" t="n">
        <x:v>266</x:v>
      </x:c>
      <x:c r="C6" t="str">
        <x:v>Listo para exportar a GitHub</x:v>
      </x:c>
      <x:c r="D6" t="str"/>
    </x:row>
  </x:sheetData>
  <x:pageMargins left="0.7" right="0.7" top="0.75" bottom="0.75" header="0.3" footer="0.3"/>
</x:worksheet>
</file>